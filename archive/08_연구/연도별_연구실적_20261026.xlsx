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9a64f4341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ae52618663a4759"/>
    <x:sheet xmlns:r="http://schemas.openxmlformats.org/officeDocument/2006/relationships" name="전체실적" sheetId="2" r:id="Re6b47120babe4b13"/>
    <x:sheet xmlns:r="http://schemas.openxmlformats.org/officeDocument/2006/relationships" name="파일목록" sheetId="3" r:id="R17bff4ebc0dc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sz val="10"/>
      <x:color rgb="FF202B37"/>
      <x:name val="Malgun Gothic"/>
    </x:font>
    <x:font>
      <x:b/>
      <x:sz val="16"/>
      <x:color rgb="FF24364B"/>
      <x:name val="Malgun Gothic"/>
    </x:font>
    <x:font>
      <x:b/>
      <x:sz val="10"/>
      <x:color rgb="FFFFFFFF"/>
      <x:name val="Malgun Gothic"/>
    </x:font>
    <x:font>
      <x:b/>
      <x:sz val="10"/>
      <x:color rgb="FF24364B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EDF2F7"/>
      </x:patternFill>
    </x:fill>
    <x:fill>
      <x:patternFill patternType="solid">
        <x:fgColor rgb="FFDCE5E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64B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4" fillId="4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F4F0B"/>
      </x:font>
      <x:fill>
        <x:patternFill patternType="solid">
          <x:bgColor rgb="FFFFF0D6"/>
        </x:patternFill>
      </x:fill>
    </x:dxf>
    <x:dxf>
      <x:font>
        <x:color rgb="FF1D4E7D"/>
      </x:font>
      <x:fill>
        <x:patternFill patternType="solid">
          <x:bgColor rgb="FFE2ED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9cbeb01b6460a" /><Relationship Type="http://schemas.openxmlformats.org/officeDocument/2006/relationships/theme" Target="/xl/theme/theme1.xml" Id="R4cecc80d4b8141dc" /><Relationship Type="http://schemas.openxmlformats.org/officeDocument/2006/relationships/sharedStrings" Target="/xl/sharedStrings.xml" Id="Rc0094ceea09d4375" /><Relationship Type="http://schemas.openxmlformats.org/officeDocument/2006/relationships/worksheet" Target="/xl/worksheets/sheet1.xml" Id="R8ae52618663a4759" /><Relationship Type="http://schemas.openxmlformats.org/officeDocument/2006/relationships/worksheet" Target="/xl/worksheets/sheet2.xml" Id="Re6b47120babe4b13" /><Relationship Type="http://schemas.openxmlformats.org/officeDocument/2006/relationships/worksheet" Target="/xl/worksheets/sheet3.xml" Id="R17bff4ebc0dc4e93" /></Relationships>
</file>

<file path=xl/tables/table1.xml><?xml version="1.0" encoding="utf-8"?>
<x:table xmlns:x="http://schemas.openxmlformats.org/spreadsheetml/2006/main" id="1" name="ResearchRecords" displayName="ResearchRecords" ref="A5:R40" headerRowCount="1" totalsRowCount="0" totalsRowShown="0">
  <x:tableColumns count="18">
    <x:tableColumn id="1" name="ID"/>
    <x:tableColumn id="2" name="실적연도"/>
    <x:tableColumn id="3" name="집계 구분"/>
    <x:tableColumn id="4" name="과제·보고서명"/>
    <x:tableColumn id="5" name="발주·주관·수행기관"/>
    <x:tableColumn id="6" name="본인 역할"/>
    <x:tableColumn id="7" name="참여 확인"/>
    <x:tableColumn id="8" name="진행 상태"/>
    <x:tableColumn id="9" name="수행기간"/>
    <x:tableColumn id="10" name="발행연도"/>
    <x:tableColumn id="11" name="참여 확인 근거"/>
    <x:tableColumn id="12" name="주의사항·미확보 자료"/>
    <x:tableColumn id="13" name="수집파일 수"/>
    <x:tableColumn id="14" name="대표자료 경로"/>
    <x:tableColumn id="15" name="대표자료 유형"/>
    <x:tableColumn id="16" name="출처 URL"/>
    <x:tableColumn id="17" name="참여 증빙 위치"/>
    <x:tableColumn id="18" name="수집폴더 경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lectedFiles" displayName="CollectedFiles" ref="A5:J55" headerRowCount="1" totalsRowCount="0" totalsRowShown="0">
  <x:tableColumns count="10">
    <x:tableColumn id="1" name="실적 ID"/>
    <x:tableColumn id="2" name="연도"/>
    <x:tableColumn id="3" name="과제·보고서명"/>
    <x:tableColumn id="4" name="수집파일명"/>
    <x:tableColumn id="5" name="자료 유형"/>
    <x:tableColumn id="6" name="크기(bytes)"/>
    <x:tableColumn id="7" name="SHA-256"/>
    <x:tableColumn id="8" name="수집 경로"/>
    <x:tableColumn id="9" name="원래 경로"/>
    <x:tableColumn id="10" name="묶음 내 상대경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f6888e7489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f2f37a2c7145b7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8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연도별 연구과제·보고서 실적</x:v>
      </x:c>
      <x:c r="B2" s="2"/>
      <x:c r="C2" s="2"/>
      <x:c r="D2" s="2"/>
      <x:c r="E2" s="2"/>
      <x:c r="F2" s="2"/>
      <x:c r="G2" s="2"/>
    </x:row>
    <x:row r="3" ht="23" customHeight="1">
      <x:c r="A3" s="4" t="str">
        <x:v>권준성. 확인 기준: 2026-10-26. 집계 단위: 실적 항목.</x:v>
      </x:c>
      <x:c r="B3" s="4"/>
      <x:c r="C3" s="4"/>
      <x:c r="D3" s="4"/>
      <x:c r="E3" s="4"/>
      <x:c r="F3" s="4"/>
      <x:c r="G3" s="4"/>
    </x:row>
    <x:row r="4" ht="23" customHeight="1">
      <x:c r="A4" s="2"/>
      <x:c r="B4" s="2"/>
      <x:c r="C4" s="2"/>
      <x:c r="D4" s="2"/>
      <x:c r="E4" s="2"/>
      <x:c r="F4" s="2"/>
      <x:c r="G4" s="2"/>
    </x:row>
    <x:row r="5" ht="36" customHeight="1">
      <x:c r="A5" s="8" t="str">
        <x:v>연도</x:v>
      </x:c>
      <x:c r="B5" s="8" t="str">
        <x:v>연구과제·보고서</x:v>
      </x:c>
      <x:c r="C5" s="8" t="str">
        <x:v>관련 산출물</x:v>
      </x:c>
      <x:c r="D5" s="8" t="str">
        <x:v>업무실적</x:v>
      </x:c>
      <x:c r="E5" s="8" t="str">
        <x:v>참여 미확인</x:v>
      </x:c>
      <x:c r="F5" s="8" t="str">
        <x:v>제안서 작성</x:v>
      </x:c>
      <x:c r="G5" s="8" t="str">
        <x:v>수집파일 수</x:v>
      </x:c>
    </x:row>
    <x:row r="6" ht="28" customHeight="1">
      <x:c r="A6" s="23" t="n">
        <x:v>2018</x:v>
      </x:c>
      <x:c r="B6" s="25" t="n">
        <x:f>COUNTIFS('전체실적'!$B$6:$B$40,$A6,'전체실적'!$C$6:$C$40,"연구과제·보고서")</x:f>
        <x:v>1</x:v>
      </x:c>
      <x:c r="C6" s="25" t="n">
        <x:f>COUNTIFS('전체실적'!$B$6:$B$40,$A6,'전체실적'!$C$6:$C$40,"관련 산출물")</x:f>
        <x:v>0</x:v>
      </x:c>
      <x:c r="D6" s="25" t="n">
        <x:f>COUNTIFS('전체실적'!$B$6:$B$40,$A6,'전체실적'!$C$6:$C$40,"업무실적")</x:f>
        <x:v>0</x:v>
      </x:c>
      <x:c r="E6" s="25" t="n">
        <x:f>COUNTIFS('전체실적'!$B$6:$B$40,$A6,'전체실적'!$C$6:$C$40,"참여 미확인")</x:f>
        <x:v>0</x:v>
      </x:c>
      <x:c r="F6" s="25" t="n">
        <x:f>COUNTIFS('전체실적'!$B$6:$B$40,$A6,'전체실적'!$C$6:$C$40,"제안서")</x:f>
        <x:v>0</x:v>
      </x:c>
      <x:c r="G6" s="25" t="n">
        <x:f>COUNTIFS('파일목록'!$B$6:$B$55,$A6)</x:f>
        <x:v>1</x:v>
      </x:c>
    </x:row>
    <x:row r="7" ht="28" customHeight="1">
      <x:c r="A7" s="24" t="n">
        <x:v>2019</x:v>
      </x:c>
      <x:c r="B7" s="26" t="n">
        <x:f>COUNTIFS('전체실적'!$B$6:$B$40,$A7,'전체실적'!$C$6:$C$40,"연구과제·보고서")</x:f>
        <x:v>3</x:v>
      </x:c>
      <x:c r="C7" s="26" t="n">
        <x:f>COUNTIFS('전체실적'!$B$6:$B$40,$A7,'전체실적'!$C$6:$C$40,"관련 산출물")</x:f>
        <x:v>0</x:v>
      </x:c>
      <x:c r="D7" s="26" t="n">
        <x:f>COUNTIFS('전체실적'!$B$6:$B$40,$A7,'전체실적'!$C$6:$C$40,"업무실적")</x:f>
        <x:v>0</x:v>
      </x:c>
      <x:c r="E7" s="26" t="n">
        <x:f>COUNTIFS('전체실적'!$B$6:$B$40,$A7,'전체실적'!$C$6:$C$40,"참여 미확인")</x:f>
        <x:v>0</x:v>
      </x:c>
      <x:c r="F7" s="26" t="n">
        <x:f>COUNTIFS('전체실적'!$B$6:$B$40,$A7,'전체실적'!$C$6:$C$40,"제안서")</x:f>
        <x:v>1</x:v>
      </x:c>
      <x:c r="G7" s="26" t="n">
        <x:f>COUNTIFS('파일목록'!$B$6:$B$55,$A7)</x:f>
        <x:v>4</x:v>
      </x:c>
    </x:row>
    <x:row r="8" ht="28" customHeight="1">
      <x:c r="A8" s="23" t="n">
        <x:v>2020</x:v>
      </x:c>
      <x:c r="B8" s="25" t="n">
        <x:f>COUNTIFS('전체실적'!$B$6:$B$40,$A8,'전체실적'!$C$6:$C$40,"연구과제·보고서")</x:f>
        <x:v>2</x:v>
      </x:c>
      <x:c r="C8" s="25" t="n">
        <x:f>COUNTIFS('전체실적'!$B$6:$B$40,$A8,'전체실적'!$C$6:$C$40,"관련 산출물")</x:f>
        <x:v>1</x:v>
      </x:c>
      <x:c r="D8" s="25" t="n">
        <x:f>COUNTIFS('전체실적'!$B$6:$B$40,$A8,'전체실적'!$C$6:$C$40,"업무실적")</x:f>
        <x:v>1</x:v>
      </x:c>
      <x:c r="E8" s="25" t="n">
        <x:f>COUNTIFS('전체실적'!$B$6:$B$40,$A8,'전체실적'!$C$6:$C$40,"참여 미확인")</x:f>
        <x:v>0</x:v>
      </x:c>
      <x:c r="F8" s="25" t="n">
        <x:f>COUNTIFS('전체실적'!$B$6:$B$40,$A8,'전체실적'!$C$6:$C$40,"제안서")</x:f>
        <x:v>2</x:v>
      </x:c>
      <x:c r="G8" s="25" t="n">
        <x:f>COUNTIFS('파일목록'!$B$6:$B$55,$A8)</x:f>
        <x:v>3</x:v>
      </x:c>
    </x:row>
    <x:row r="9" ht="28" customHeight="1">
      <x:c r="A9" s="24" t="n">
        <x:v>2021</x:v>
      </x:c>
      <x:c r="B9" s="26" t="n">
        <x:f>COUNTIFS('전체실적'!$B$6:$B$40,$A9,'전체실적'!$C$6:$C$40,"연구과제·보고서")</x:f>
        <x:v>2</x:v>
      </x:c>
      <x:c r="C9" s="26" t="n">
        <x:f>COUNTIFS('전체실적'!$B$6:$B$40,$A9,'전체실적'!$C$6:$C$40,"관련 산출물")</x:f>
        <x:v>0</x:v>
      </x:c>
      <x:c r="D9" s="26" t="n">
        <x:f>COUNTIFS('전체실적'!$B$6:$B$40,$A9,'전체실적'!$C$6:$C$40,"업무실적")</x:f>
        <x:v>0</x:v>
      </x:c>
      <x:c r="E9" s="26" t="n">
        <x:f>COUNTIFS('전체실적'!$B$6:$B$40,$A9,'전체실적'!$C$6:$C$40,"참여 미확인")</x:f>
        <x:v>0</x:v>
      </x:c>
      <x:c r="F9" s="26" t="n">
        <x:f>COUNTIFS('전체실적'!$B$6:$B$40,$A9,'전체실적'!$C$6:$C$40,"제안서")</x:f>
        <x:v>0</x:v>
      </x:c>
      <x:c r="G9" s="26" t="n">
        <x:f>COUNTIFS('파일목록'!$B$6:$B$55,$A9)</x:f>
        <x:v>7</x:v>
      </x:c>
    </x:row>
    <x:row r="10" ht="28" customHeight="1">
      <x:c r="A10" s="23" t="n">
        <x:v>2022</x:v>
      </x:c>
      <x:c r="B10" s="25" t="n">
        <x:f>COUNTIFS('전체실적'!$B$6:$B$40,$A10,'전체실적'!$C$6:$C$40,"연구과제·보고서")</x:f>
        <x:v>2</x:v>
      </x:c>
      <x:c r="C10" s="25" t="n">
        <x:f>COUNTIFS('전체실적'!$B$6:$B$40,$A10,'전체실적'!$C$6:$C$40,"관련 산출물")</x:f>
        <x:v>0</x:v>
      </x:c>
      <x:c r="D10" s="25" t="n">
        <x:f>COUNTIFS('전체실적'!$B$6:$B$40,$A10,'전체실적'!$C$6:$C$40,"업무실적")</x:f>
        <x:v>0</x:v>
      </x:c>
      <x:c r="E10" s="25" t="n">
        <x:f>COUNTIFS('전체실적'!$B$6:$B$40,$A10,'전체실적'!$C$6:$C$40,"참여 미확인")</x:f>
        <x:v>0</x:v>
      </x:c>
      <x:c r="F10" s="25" t="n">
        <x:f>COUNTIFS('전체실적'!$B$6:$B$40,$A10,'전체실적'!$C$6:$C$40,"제안서")</x:f>
        <x:v>0</x:v>
      </x:c>
      <x:c r="G10" s="25" t="n">
        <x:f>COUNTIFS('파일목록'!$B$6:$B$55,$A10)</x:f>
        <x:v>1</x:v>
      </x:c>
    </x:row>
    <x:row r="11" ht="28" customHeight="1">
      <x:c r="A11" s="24" t="n">
        <x:v>2023</x:v>
      </x:c>
      <x:c r="B11" s="26" t="n">
        <x:f>COUNTIFS('전체실적'!$B$6:$B$40,$A11,'전체실적'!$C$6:$C$40,"연구과제·보고서")</x:f>
        <x:v>3</x:v>
      </x:c>
      <x:c r="C11" s="26" t="n">
        <x:f>COUNTIFS('전체실적'!$B$6:$B$40,$A11,'전체실적'!$C$6:$C$40,"관련 산출물")</x:f>
        <x:v>0</x:v>
      </x:c>
      <x:c r="D11" s="26" t="n">
        <x:f>COUNTIFS('전체실적'!$B$6:$B$40,$A11,'전체실적'!$C$6:$C$40,"업무실적")</x:f>
        <x:v>0</x:v>
      </x:c>
      <x:c r="E11" s="26" t="n">
        <x:f>COUNTIFS('전체실적'!$B$6:$B$40,$A11,'전체실적'!$C$6:$C$40,"참여 미확인")</x:f>
        <x:v>1</x:v>
      </x:c>
      <x:c r="F11" s="26" t="n">
        <x:f>COUNTIFS('전체실적'!$B$6:$B$40,$A11,'전체실적'!$C$6:$C$40,"제안서")</x:f>
        <x:v>0</x:v>
      </x:c>
      <x:c r="G11" s="26" t="n">
        <x:f>COUNTIFS('파일목록'!$B$6:$B$55,$A11)</x:f>
        <x:v>7</x:v>
      </x:c>
    </x:row>
    <x:row r="12" ht="28" customHeight="1">
      <x:c r="A12" s="23" t="n">
        <x:v>2024</x:v>
      </x:c>
      <x:c r="B12" s="25" t="n">
        <x:f>COUNTIFS('전체실적'!$B$6:$B$40,$A12,'전체실적'!$C$6:$C$40,"연구과제·보고서")</x:f>
        <x:v>3</x:v>
      </x:c>
      <x:c r="C12" s="25" t="n">
        <x:f>COUNTIFS('전체실적'!$B$6:$B$40,$A12,'전체실적'!$C$6:$C$40,"관련 산출물")</x:f>
        <x:v>1</x:v>
      </x:c>
      <x:c r="D12" s="25" t="n">
        <x:f>COUNTIFS('전체실적'!$B$6:$B$40,$A12,'전체실적'!$C$6:$C$40,"업무실적")</x:f>
        <x:v>1</x:v>
      </x:c>
      <x:c r="E12" s="25" t="n">
        <x:f>COUNTIFS('전체실적'!$B$6:$B$40,$A12,'전체실적'!$C$6:$C$40,"참여 미확인")</x:f>
        <x:v>0</x:v>
      </x:c>
      <x:c r="F12" s="25" t="n">
        <x:f>COUNTIFS('전체실적'!$B$6:$B$40,$A12,'전체실적'!$C$6:$C$40,"제안서")</x:f>
        <x:v>0</x:v>
      </x:c>
      <x:c r="G12" s="25" t="n">
        <x:f>COUNTIFS('파일목록'!$B$6:$B$55,$A12)</x:f>
        <x:v>11</x:v>
      </x:c>
    </x:row>
    <x:row r="13" ht="28" customHeight="1">
      <x:c r="A13" s="24" t="n">
        <x:v>2025</x:v>
      </x:c>
      <x:c r="B13" s="26" t="n">
        <x:f>COUNTIFS('전체실적'!$B$6:$B$40,$A13,'전체실적'!$C$6:$C$40,"연구과제·보고서")</x:f>
        <x:v>4</x:v>
      </x:c>
      <x:c r="C13" s="26" t="n">
        <x:f>COUNTIFS('전체실적'!$B$6:$B$40,$A13,'전체실적'!$C$6:$C$40,"관련 산출물")</x:f>
        <x:v>0</x:v>
      </x:c>
      <x:c r="D13" s="26" t="n">
        <x:f>COUNTIFS('전체실적'!$B$6:$B$40,$A13,'전체실적'!$C$6:$C$40,"업무실적")</x:f>
        <x:v>0</x:v>
      </x:c>
      <x:c r="E13" s="26" t="n">
        <x:f>COUNTIFS('전체실적'!$B$6:$B$40,$A13,'전체실적'!$C$6:$C$40,"참여 미확인")</x:f>
        <x:v>1</x:v>
      </x:c>
      <x:c r="F13" s="26" t="n">
        <x:f>COUNTIFS('전체실적'!$B$6:$B$40,$A13,'전체실적'!$C$6:$C$40,"제안서")</x:f>
        <x:v>0</x:v>
      </x:c>
      <x:c r="G13" s="26" t="n">
        <x:f>COUNTIFS('파일목록'!$B$6:$B$55,$A13)</x:f>
        <x:v>7</x:v>
      </x:c>
    </x:row>
    <x:row r="14" ht="28" customHeight="1">
      <x:c r="A14" s="23" t="n">
        <x:v>2026</x:v>
      </x:c>
      <x:c r="B14" s="25" t="n">
        <x:f>COUNTIFS('전체실적'!$B$6:$B$40,$A14,'전체실적'!$C$6:$C$40,"연구과제·보고서")</x:f>
        <x:v>3</x:v>
      </x:c>
      <x:c r="C14" s="25" t="n">
        <x:f>COUNTIFS('전체실적'!$B$6:$B$40,$A14,'전체실적'!$C$6:$C$40,"관련 산출물")</x:f>
        <x:v>1</x:v>
      </x:c>
      <x:c r="D14" s="25" t="n">
        <x:f>COUNTIFS('전체실적'!$B$6:$B$40,$A14,'전체실적'!$C$6:$C$40,"업무실적")</x:f>
        <x:v>0</x:v>
      </x:c>
      <x:c r="E14" s="25" t="n">
        <x:f>COUNTIFS('전체실적'!$B$6:$B$40,$A14,'전체실적'!$C$6:$C$40,"참여 미확인")</x:f>
        <x:v>2</x:v>
      </x:c>
      <x:c r="F14" s="25" t="n">
        <x:f>COUNTIFS('전체실적'!$B$6:$B$40,$A14,'전체실적'!$C$6:$C$40,"제안서")</x:f>
        <x:v>0</x:v>
      </x:c>
      <x:c r="G14" s="25" t="n">
        <x:f>COUNTIFS('파일목록'!$B$6:$B$55,$A14)</x:f>
        <x:v>9</x:v>
      </x:c>
    </x:row>
    <x:row r="15" ht="28" customHeight="1">
      <x:c r="A15" s="22" t="str">
        <x:v>합계</x:v>
      </x:c>
      <x:c r="B15" s="27" t="n">
        <x:f>SUM(B6:B14)</x:f>
        <x:v>23</x:v>
      </x:c>
      <x:c r="C15" s="27" t="n">
        <x:f>SUM(C6:C14)</x:f>
        <x:v>3</x:v>
      </x:c>
      <x:c r="D15" s="27" t="n">
        <x:f>SUM(D6:D14)</x:f>
        <x:v>2</x:v>
      </x:c>
      <x:c r="E15" s="27" t="n">
        <x:f>SUM(E6:E14)</x:f>
        <x:v>4</x:v>
      </x:c>
      <x:c r="F15" s="27" t="n">
        <x:f>SUM(F6:F14)</x:f>
        <x:v>3</x:v>
      </x:c>
      <x:c r="G15" s="27" t="n">
        <x:f>SUM(G6:G14)</x:f>
        <x:v>50</x:v>
      </x:c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23" customHeight="1">
      <x:c r="A18" s="28" t="str">
        <x:v>집계 기준</x:v>
      </x:c>
      <x:c r="B18" s="2"/>
      <x:c r="C18" s="2"/>
      <x:c r="D18" s="2"/>
      <x:c r="E18" s="2"/>
      <x:c r="F18" s="2"/>
      <x:c r="G18" s="2"/>
    </x:row>
    <x:row r="19" ht="24" customHeight="1">
      <x:c r="A19" s="2" t="str">
        <x:v>연구과제·보고서는 참여가 확인된 실적 항목입니다. 별권 보고서·연도별 사업을 포함하므로 독립 수주 과제 수와 다릅니다.</x:v>
      </x:c>
      <x:c r="B19" s="2"/>
      <x:c r="C19" s="2"/>
      <x:c r="D19" s="2"/>
      <x:c r="E19" s="2"/>
      <x:c r="F19" s="2"/>
      <x:c r="G19" s="2"/>
    </x:row>
    <x:row r="20" ht="24" customHeight="1">
      <x:c r="A20" s="2" t="str">
        <x:v>관련 산출물은 학술·대회 보고서·브리프, 업무실적은 통계·교육성과분석 실무입니다. 제안서 작성은 수행 확정과 구분했습니다.</x:v>
      </x:c>
      <x:c r="B20" s="2"/>
      <x:c r="C20" s="2"/>
      <x:c r="D20" s="2"/>
      <x:c r="E20" s="2"/>
      <x:c r="F20" s="2"/>
      <x:c r="G20" s="2"/>
    </x:row>
    <x:row r="21" ht="24" customHeight="1">
      <x:c r="A21" s="2" t="str">
        <x:v>수집파일 수에는 전문뿐 아니라 초안·발췌·계획서·관련 자료가 포함됩니다. 같은 실적의 여러 버전을 따로 보관했습니다.</x:v>
      </x:c>
      <x:c r="B21" s="2"/>
      <x:c r="C21" s="2"/>
      <x:c r="D21" s="2"/>
      <x:c r="E21" s="2"/>
      <x:c r="F21" s="2"/>
      <x:c r="G21" s="2"/>
    </x:row>
    <x:row r="22" ht="24" customHeight="1">
      <x:c r="A22" s="2" t="str">
        <x:v>연도는 수행·발행 근거를 따릅니다. 기간 및 연도 상충, 원문 미확보 여부는 전체실적의 근거와 주의사항을 확인하세요.</x:v>
      </x:c>
      <x:c r="B22" s="2"/>
      <x:c r="C22" s="2"/>
      <x:c r="D22" s="2"/>
      <x:c r="E22" s="2"/>
      <x:c r="F22" s="2"/>
      <x:c r="G22" s="2"/>
    </x:row>
    <x:row r="23" ht="23" customHeight="1">
      <x:c r="A23" s="2"/>
      <x:c r="B23" s="2"/>
      <x:c r="C23" s="2"/>
      <x:c r="D23" s="2"/>
      <x:c r="E23" s="2"/>
      <x:c r="F23" s="2"/>
      <x:c r="G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20" hidden="0" customWidth="1"/>
    <x:col min="4" max="4" width="52" hidden="0" customWidth="1"/>
    <x:col min="5" max="5" width="35" hidden="0" customWidth="1"/>
    <x:col min="6" max="6" width="30" hidden="0" customWidth="1"/>
    <x:col min="7" max="7" width="21" hidden="0" customWidth="1"/>
    <x:col min="8" max="8" width="18" hidden="0" customWidth="1"/>
    <x:col min="9" max="9" width="23" hidden="0" customWidth="1"/>
    <x:col min="10" max="10" width="15" hidden="0" customWidth="1"/>
    <x:col min="11" max="11" width="55" hidden="0" customWidth="1"/>
    <x:col min="12" max="12" width="58" hidden="0" customWidth="1"/>
    <x:col min="13" max="13" width="12" hidden="0" customWidth="1"/>
    <x:col min="14" max="14" width="85" hidden="0" customWidth="1"/>
    <x:col min="15" max="15" width="36" hidden="0" customWidth="1"/>
    <x:col min="16" max="16" width="85" hidden="0" customWidth="1"/>
    <x:col min="17" max="17" width="70" hidden="0" customWidth="1"/>
    <x:col min="18" max="18" width="7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권준성 연구과제·보고서 전체 실적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4" t="str">
        <x:v>확인된 참여, 관련 산출물, 업무, 참여 미확인, 제안서 작성 실적을 구분합니다.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6" customHeight="1">
      <x:c r="A5" s="8" t="str">
        <x:v>ID</x:v>
      </x:c>
      <x:c r="B5" s="8" t="str">
        <x:v>실적연도</x:v>
      </x:c>
      <x:c r="C5" s="8" t="str">
        <x:v>집계 구분</x:v>
      </x:c>
      <x:c r="D5" s="8" t="str">
        <x:v>과제·보고서명</x:v>
      </x:c>
      <x:c r="E5" s="8" t="str">
        <x:v>발주·주관·수행기관</x:v>
      </x:c>
      <x:c r="F5" s="8" t="str">
        <x:v>본인 역할</x:v>
      </x:c>
      <x:c r="G5" s="8" t="str">
        <x:v>참여 확인</x:v>
      </x:c>
      <x:c r="H5" s="8" t="str">
        <x:v>진행 상태</x:v>
      </x:c>
      <x:c r="I5" s="8" t="str">
        <x:v>수행기간</x:v>
      </x:c>
      <x:c r="J5" s="8" t="str">
        <x:v>발행연도</x:v>
      </x:c>
      <x:c r="K5" s="8" t="str">
        <x:v>참여 확인 근거</x:v>
      </x:c>
      <x:c r="L5" s="8" t="str">
        <x:v>주의사항·미확보 자료</x:v>
      </x:c>
      <x:c r="M5" s="8" t="str">
        <x:v>수집파일 수</x:v>
      </x:c>
      <x:c r="N5" s="8" t="str">
        <x:v>대표자료 경로</x:v>
      </x:c>
      <x:c r="O5" s="8" t="str">
        <x:v>대표자료 유형</x:v>
      </x:c>
      <x:c r="P5" s="8" t="str">
        <x:v>출처 URL</x:v>
      </x:c>
      <x:c r="Q5" s="8" t="str">
        <x:v>참여 증빙 위치</x:v>
      </x:c>
      <x:c r="R5" s="8" t="str">
        <x:v>수집폴더 경로</x:v>
      </x:c>
    </x:row>
    <x:row r="6" ht="66" customHeight="1">
      <x:c r="A6" s="10" t="str">
        <x:v>R01</x:v>
      </x:c>
      <x:c r="B6" s="14" t="n">
        <x:v>2018</x:v>
      </x:c>
      <x:c r="C6" s="10" t="str">
        <x:v>연구과제·보고서</x:v>
      </x:c>
      <x:c r="D6" s="12" t="str">
        <x:v>비행촉발요인조사서 매뉴얼 개발</x:v>
      </x:c>
      <x:c r="E6" s="12" t="str">
        <x:v>법무부 범죄예방정책국 / 범죄심리사 자격관리위원회</x:v>
      </x:c>
      <x:c r="F6" s="12" t="str">
        <x:v>개발 참여(직함 미확인)</x:v>
      </x:c>
      <x:c r="G6" s="12" t="str">
        <x:v>참여기록 확인</x:v>
      </x:c>
      <x:c r="H6" s="12" t="str">
        <x:v>완료</x:v>
      </x:c>
      <x:c r="I6" s="12" t="str">
        <x:v>미상</x:v>
      </x:c>
      <x:c r="J6" s="12" t="str">
        <x:v>2018</x:v>
      </x:c>
      <x:c r="K6" s="12" t="str">
        <x:v>박사지원서에 2018 수행 명시. 2023 실적표에는 2019 매뉴얼 연구용역보고서, 발행 2018.11 기재.</x:v>
      </x:c>
      <x:c r="L6" s="12" t="str">
        <x:v>원연구보고서는 미확보. 수집한 53쪽 개정 지침서는 관련 자료이며 동일본·연도·저자 확정 불가. 수행연도 2018과 제목의 2019를 병기.</x:v>
      </x:c>
      <x:c r="M6" s="14" t="n">
        <x:v>1</x:v>
      </x:c>
      <x:c r="N6" s="12" t="str">
        <x:v>D:\연구실적_정리_20261026\outputs\research_20261026\01_연구과제와보고서\2018\R01_비행촉발요인조사서 매뉴얼 개발\01_비행촉발요인조사 및 면담 지침서 [개정판]  .pdf</x:v>
      </x:c>
      <x:c r="O6" s="12" t="str">
        <x:v>관련 지침서(원연구보고서 여부 미확인)</x:v>
      </x:c>
      <x:c r="P6" s="12" t="str"/>
      <x:c r="Q6" s="12" t="str">
        <x:v>D:\논문\21-1 지원자 권준성(통합파일).pdf (11쪽); D:\Users\overo\Downloads\i0w8iBoverod20.hwp (연구참여 목록)</x:v>
      </x:c>
      <x:c r="R6" s="12" t="str">
        <x:v>D:\연구실적_정리_20261026\outputs\research_20261026\01_연구과제와보고서\2018\R01_비행촉발요인조사서 매뉴얼 개발</x:v>
      </x:c>
    </x:row>
    <x:row r="7" ht="66" customHeight="1">
      <x:c r="A7" s="11" t="str">
        <x:v>P01</x:v>
      </x:c>
      <x:c r="B7" s="15" t="n">
        <x:v>2019</x:v>
      </x:c>
      <x:c r="C7" s="11" t="str">
        <x:v>제안서</x:v>
      </x:c>
      <x:c r="D7" s="13" t="str">
        <x:v>가정폭력 가해자 사전통지서 효과성 검증 프로그램</x:v>
      </x:c>
      <x:c r="E7" s="13" t="str">
        <x:v>경찰청</x:v>
      </x:c>
      <x:c r="F7" s="13" t="str">
        <x:v>연구제안서 작성 참여</x:v>
      </x:c>
      <x:c r="G7" s="13" t="str">
        <x:v>제안서 참여</x:v>
      </x:c>
      <x:c r="H7" s="13" t="str">
        <x:v>수행 여부 미확인</x:v>
      </x:c>
      <x:c r="I7" s="13" t="str">
        <x:v>미상</x:v>
      </x:c>
      <x:c r="J7" s="13" t="str">
        <x:v>해당 없음</x:v>
      </x:c>
      <x:c r="K7" s="13" t="str">
        <x:v>연구제안서작성 참여 4번</x:v>
      </x:c>
      <x:c r="L7" s="13" t="str">
        <x:v>수주·수행·최종보고서 참여 근거 없음. 완료 연구실적과 구분</x:v>
      </x:c>
      <x:c r="M7" s="15" t="n">
        <x:v>0</x:v>
      </x:c>
      <x:c r="N7" s="13" t="str">
        <x:v>미확보</x:v>
      </x:c>
      <x:c r="O7" s="13" t="str">
        <x:v>미확보</x:v>
      </x:c>
      <x:c r="P7" s="13" t="str"/>
      <x:c r="Q7" s="13" t="str">
        <x:v>D:\Users\overo\Downloads\i0w8iBoverod20.hwp (연구참여 목록)</x:v>
      </x:c>
      <x:c r="R7" s="13" t="str">
        <x:v>미확보</x:v>
      </x:c>
    </x:row>
    <x:row r="8" ht="66" customHeight="1">
      <x:c r="A8" s="10" t="str">
        <x:v>R02</x:v>
      </x:c>
      <x:c r="B8" s="14" t="n">
        <x:v>2019</x:v>
      </x:c>
      <x:c r="C8" s="10" t="str">
        <x:v>연구과제·보고서</x:v>
      </x:c>
      <x:c r="D8" s="12" t="str">
        <x:v>보호대상자용 사회적응 예측지표 개발 연구용역보고서(Ⅰ)</x:v>
      </x:c>
      <x:c r="E8" s="12" t="str">
        <x:v>한국법무보호복지공단 / 경기대학교 산학협력단</x:v>
      </x:c>
      <x:c r="F8" s="12" t="str">
        <x:v>외부참여자(경기대학교)</x:v>
      </x:c>
      <x:c r="G8" s="12" t="str">
        <x:v>원문·공식 확인</x:v>
      </x:c>
      <x:c r="H8" s="12" t="str">
        <x:v>완료</x:v>
      </x:c>
      <x:c r="I8" s="12" t="str">
        <x:v>미상</x:v>
      </x:c>
      <x:c r="J8" s="12" t="str">
        <x:v>2019.11</x:v>
      </x:c>
      <x:c r="K8" s="12" t="str">
        <x:v>원문 PDF 3쪽 제출문·연구진에 권준성 명시. 제출 2019.11.25.</x:v>
      </x:c>
      <x:c r="L8" s="12" t="str">
        <x:v>Ⅰ·Ⅱ 두 권을 별도 보고서 항목으로 정리. 동일 사업 여부에 따라 과제 건수 산정 시 통합 필요. 19쪽 채점매뉴얼·척도 문항도 수집.</x:v>
      </x:c>
      <x:c r="M8" s="14" t="n">
        <x:v>3</x:v>
      </x:c>
      <x:c r="N8" s="12" t="str">
        <x:v>D:\연구실적_정리_20261026\outputs\research_20261026\01_연구과제와보고서\2019\R02_보호대상자용 사회적응 예측지표 개발 연구용역보고서(Ⅰ)\01_보호대상자용 사회적응 예측지표 개발 연구용역보고서(Ⅰ)_최종_20191126-5.pdf</x:v>
      </x:c>
      <x:c r="O8" s="12" t="str">
        <x:v>보고서 원문</x:v>
      </x:c>
      <x:c r="P8" s="12" t="str">
        <x:v>https://mail.google.com/mail/u/?authuser=overod998%40gmail.com#all/170be04165aab351</x:v>
      </x:c>
      <x:c r="Q8" s="12" t="str"/>
      <x:c r="R8" s="12" t="str">
        <x:v>D:\연구실적_정리_20261026\outputs\research_20261026\01_연구과제와보고서\2019\R02_보호대상자용 사회적응 예측지표 개발 연구용역보고서(Ⅰ)</x:v>
      </x:c>
    </x:row>
    <x:row r="9" ht="66" customHeight="1">
      <x:c r="A9" s="11" t="str">
        <x:v>R03</x:v>
      </x:c>
      <x:c r="B9" s="15" t="n">
        <x:v>2019</x:v>
      </x:c>
      <x:c r="C9" s="11" t="str">
        <x:v>연구과제·보고서</x:v>
      </x:c>
      <x:c r="D9" s="13" t="str">
        <x:v>보호대상자용 회복탄력성 증진 프로그램 개발 연구용역보고서(Ⅱ)</x:v>
      </x:c>
      <x:c r="E9" s="13" t="str">
        <x:v>한국법무보호복지공단 / 경기대학교 산학협력단</x:v>
      </x:c>
      <x:c r="F9" s="13" t="str">
        <x:v>외부참여자(경기대학교)</x:v>
      </x:c>
      <x:c r="G9" s="13" t="str">
        <x:v>원문·공식 확인</x:v>
      </x:c>
      <x:c r="H9" s="13" t="str">
        <x:v>완료</x:v>
      </x:c>
      <x:c r="I9" s="13" t="str">
        <x:v>미상</x:v>
      </x:c>
      <x:c r="J9" s="13" t="str">
        <x:v>2019.11</x:v>
      </x:c>
      <x:c r="K9" s="13" t="str">
        <x:v>원문 PDF 3쪽 제출문·연구진에 권준성 명시. 제출 2019.11.25.</x:v>
      </x:c>
      <x:c r="L9" s="13" t="str">
        <x:v>Ⅰ·Ⅱ 두 권을 별도 보고서 항목으로 정리. 동일 사업 여부에 따라 과제 건수 산정 시 통합 필요. 기존 실적표의 사회적응척도 개발(Ⅱ) 표기 대신 실제 표지 제목 사용.</x:v>
      </x:c>
      <x:c r="M9" s="15" t="n">
        <x:v>1</x:v>
      </x:c>
      <x:c r="N9" s="13" t="str">
        <x:v>D:\연구실적_정리_20261026\outputs\research_20261026\01_연구과제와보고서\2019\R03_보호대상자용 회복탄력성 증진 프로그램 개발 연구용역보고서(Ⅱ)\01_보호대상자용 회복탄력성 증진 프로그램 개발 연구용역보고서(Ⅱ)_최종_20191126-5.pdf</x:v>
      </x:c>
      <x:c r="O9" s="13" t="str">
        <x:v>보고서 원문</x:v>
      </x:c>
      <x:c r="P9" s="13" t="str">
        <x:v>https://mail.google.com/mail/u/?authuser=overod998%40gmail.com#all/170be04165aab351</x:v>
      </x:c>
      <x:c r="Q9" s="13" t="str"/>
      <x:c r="R9" s="13" t="str">
        <x:v>D:\연구실적_정리_20261026\outputs\research_20261026\01_연구과제와보고서\2019\R03_보호대상자용 회복탄력성 증진 프로그램 개발 연구용역보고서(Ⅱ)</x:v>
      </x:c>
    </x:row>
    <x:row r="10" ht="66" customHeight="1">
      <x:c r="A10" s="10" t="str">
        <x:v>R04</x:v>
      </x:c>
      <x:c r="B10" s="14" t="n">
        <x:v>2019</x:v>
      </x:c>
      <x:c r="C10" s="10" t="str">
        <x:v>연구과제·보고서</x:v>
      </x:c>
      <x:c r="D10" s="12" t="str">
        <x:v>머신러닝 기반 범죄경력자 사회적응수준 예측 시스템 개발</x:v>
      </x:c>
      <x:c r="E10" s="12" t="str">
        <x:v>한국인터넷진흥원</x:v>
      </x:c>
      <x:c r="F10" s="12" t="str">
        <x:v>연구프로젝트 참여(직함 미확인)</x:v>
      </x:c>
      <x:c r="G10" s="12" t="str">
        <x:v>참여기록 확인</x:v>
      </x:c>
      <x:c r="H10" s="12" t="str">
        <x:v>완료</x:v>
      </x:c>
      <x:c r="I10" s="12" t="str">
        <x:v>미상</x:v>
      </x:c>
      <x:c r="J10" s="12" t="str">
        <x:v>2019</x:v>
      </x:c>
      <x:c r="K10" s="12" t="str">
        <x:v>본인 박사지원서 연구프로젝트 참여 3번에 2019·기관·과제명 명시.</x:v>
      </x:c>
      <x:c r="L10" s="12" t="str">
        <x:v>독립 최종보고서 미확보.</x:v>
      </x:c>
      <x:c r="M10" s="14" t="n">
        <x:v>0</x:v>
      </x:c>
      <x:c r="N10" s="12" t="str">
        <x:v>미확보</x:v>
      </x:c>
      <x:c r="O10" s="12" t="str">
        <x:v>미확보</x:v>
      </x:c>
      <x:c r="P10" s="12" t="str"/>
      <x:c r="Q10" s="12" t="str">
        <x:v>D:\Users\overo\Downloads\i0w8iBoverod20.hwp (연구참여 목록)</x:v>
      </x:c>
      <x:c r="R10" s="12" t="str">
        <x:v>미확보</x:v>
      </x:c>
    </x:row>
    <x:row r="11" ht="66" customHeight="1">
      <x:c r="A11" s="11" t="str">
        <x:v>P02</x:v>
      </x:c>
      <x:c r="B11" s="15" t="n">
        <x:v>2020</x:v>
      </x:c>
      <x:c r="C11" s="11" t="str">
        <x:v>제안서</x:v>
      </x:c>
      <x:c r="D11" s="13" t="str">
        <x:v>경기도 내 아동복지 데이터 표준화 및 데이터망 연계를 통한 아동보호 예측시스템 기반 마련</x:v>
      </x:c>
      <x:c r="E11" s="13" t="str">
        <x:v>경기도의회</x:v>
      </x:c>
      <x:c r="F11" s="13" t="str">
        <x:v>연구제안서 작성 참여</x:v>
      </x:c>
      <x:c r="G11" s="13" t="str">
        <x:v>제안서 참여</x:v>
      </x:c>
      <x:c r="H11" s="13" t="str">
        <x:v>수행 여부 미확인</x:v>
      </x:c>
      <x:c r="I11" s="13" t="str">
        <x:v>미상</x:v>
      </x:c>
      <x:c r="J11" s="13" t="str">
        <x:v>해당 없음</x:v>
      </x:c>
      <x:c r="K11" s="13" t="str">
        <x:v>연구제안서작성 참여 2번</x:v>
      </x:c>
      <x:c r="L11" s="13" t="str">
        <x:v>수주·수행·최종보고서 참여 근거 없음. 완료 연구실적과 구분</x:v>
      </x:c>
      <x:c r="M11" s="15" t="n">
        <x:v>0</x:v>
      </x:c>
      <x:c r="N11" s="13" t="str">
        <x:v>미확보</x:v>
      </x:c>
      <x:c r="O11" s="13" t="str">
        <x:v>미확보</x:v>
      </x:c>
      <x:c r="P11" s="13" t="str"/>
      <x:c r="Q11" s="13" t="str">
        <x:v>D:\Users\overo\Downloads\i0w8iBoverod20.hwp (연구참여 목록)</x:v>
      </x:c>
      <x:c r="R11" s="13" t="str">
        <x:v>미확보</x:v>
      </x:c>
    </x:row>
    <x:row r="12" ht="66" customHeight="1">
      <x:c r="A12" s="10" t="str">
        <x:v>P03</x:v>
      </x:c>
      <x:c r="B12" s="14" t="n">
        <x:v>2020</x:v>
      </x:c>
      <x:c r="C12" s="10" t="str">
        <x:v>제안서</x:v>
      </x:c>
      <x:c r="D12" s="12" t="str">
        <x:v>효과적인 치안활동을 위한 현장지원 기술 개발 사업</x:v>
      </x:c>
      <x:c r="E12" s="12" t="str">
        <x:v>경찰청</x:v>
      </x:c>
      <x:c r="F12" s="12" t="str">
        <x:v>연구제안서 작성 참여</x:v>
      </x:c>
      <x:c r="G12" s="12" t="str">
        <x:v>제안서 참여</x:v>
      </x:c>
      <x:c r="H12" s="12" t="str">
        <x:v>수행 여부 미확인</x:v>
      </x:c>
      <x:c r="I12" s="12" t="str">
        <x:v>미상</x:v>
      </x:c>
      <x:c r="J12" s="12" t="str">
        <x:v>해당 없음</x:v>
      </x:c>
      <x:c r="K12" s="12" t="str">
        <x:v>연구제안서작성 참여 3번</x:v>
      </x:c>
      <x:c r="L12" s="12" t="str">
        <x:v>수주·수행·최종보고서 참여 근거 없음. 완료 연구실적과 구분</x:v>
      </x:c>
      <x:c r="M12" s="14" t="n">
        <x:v>0</x:v>
      </x:c>
      <x:c r="N12" s="12" t="str">
        <x:v>미확보</x:v>
      </x:c>
      <x:c r="O12" s="12" t="str">
        <x:v>미확보</x:v>
      </x:c>
      <x:c r="P12" s="12" t="str"/>
      <x:c r="Q12" s="12" t="str">
        <x:v>D:\Users\overo\Downloads\i0w8iBoverod20.hwp (연구참여 목록)</x:v>
      </x:c>
      <x:c r="R12" s="12" t="str">
        <x:v>미확보</x:v>
      </x:c>
    </x:row>
    <x:row r="13" ht="66" customHeight="1">
      <x:c r="A13" s="11" t="str">
        <x:v>R05</x:v>
      </x:c>
      <x:c r="B13" s="15" t="n">
        <x:v>2020</x:v>
      </x:c>
      <x:c r="C13" s="11" t="str">
        <x:v>연구과제·보고서</x:v>
      </x:c>
      <x:c r="D13" s="13" t="str">
        <x:v>출소자의 재범방지를 위한 빅데이터 기반 AI 플랫폼 구축</x:v>
      </x:c>
      <x:c r="E13" s="13" t="str">
        <x:v>과학기술정보통신부·한국정보화진흥원 / 한국법무보호복지공단·경기대학교 산학협력단</x:v>
      </x:c>
      <x:c r="F13" s="13" t="str">
        <x:v>제안·연구 수행 참여(직함 미확인)</x:v>
      </x:c>
      <x:c r="G13" s="13" t="str">
        <x:v>참여기록 확인</x:v>
      </x:c>
      <x:c r="H13" s="13" t="str">
        <x:v>완료</x:v>
      </x:c>
      <x:c r="I13" s="13" t="str">
        <x:v>2020.06.25~12.20</x:v>
      </x:c>
      <x:c r="J13" s="13" t="str">
        <x:v>2021.01</x:v>
      </x:c>
      <x:c r="K13" s="13" t="str">
        <x:v>본인 CV·박사지원서에 연구프로젝트 참여 명시. 결과보고서에 권준성 공저 논문 3건이 사업성과로 수록.</x:v>
      </x:c>
      <x:c r="L13" s="13" t="str">
        <x:v>사업기간은 2020, 결과보고서 제출일은 2021.01.15. 연구진 명단에서의 직함은 미확인.</x:v>
      </x:c>
      <x:c r="M13" s="15" t="n">
        <x:v>2</x:v>
      </x:c>
      <x:c r="N13" s="13" t="str">
        <x:v>D:\연구실적_정리_20261026\outputs\research_20261026\01_연구과제와보고서\2020\R05_출소자의 재범방지를 위한 빅데이터 기반 AI 플랫폼 구축\01_2020 데이터 플래그십 결과보고서-210115-3.hwp</x:v>
      </x:c>
      <x:c r="O13" s="13" t="str">
        <x:v>보고서 원문</x:v>
      </x:c>
      <x:c r="P13" s="13" t="str">
        <x:v>https://mail.google.com/mail/u/?authuser=overod998%40gmail.com#all/18867ef8aa072064</x:v>
      </x:c>
      <x:c r="Q13" s="13" t="str">
        <x:v>D:\Users\overo\Downloads\i0w8iBoverod20.hwp (연구참여 목록)</x:v>
      </x:c>
      <x:c r="R13" s="13" t="str">
        <x:v>D:\연구실적_정리_20261026\outputs\research_20261026\01_연구과제와보고서\2020\R05_출소자의 재범방지를 위한 빅데이터 기반 AI 플랫폼 구축</x:v>
      </x:c>
    </x:row>
    <x:row r="14" ht="66" customHeight="1">
      <x:c r="A14" s="10" t="str">
        <x:v>R06</x:v>
      </x:c>
      <x:c r="B14" s="14" t="n">
        <x:v>2020</x:v>
      </x:c>
      <x:c r="C14" s="10" t="str">
        <x:v>관련 산출물</x:v>
      </x:c>
      <x:c r="D14" s="12" t="str">
        <x:v>텍스트마이닝기법을 통한 숙식지원 대상자 욕구 추이 변화 연구</x:v>
      </x:c>
      <x:c r="E14" s="12" t="str">
        <x:v>한국정보화진흥원</x:v>
      </x:c>
      <x:c r="F14" s="12" t="str">
        <x:v>연구 및 관련 논문 작성 참여</x:v>
      </x:c>
      <x:c r="G14" s="12" t="str">
        <x:v>참여기록 확인</x:v>
      </x:c>
      <x:c r="H14" s="12" t="str">
        <x:v>완료</x:v>
      </x:c>
      <x:c r="I14" s="12" t="str">
        <x:v>미상</x:v>
      </x:c>
      <x:c r="J14" s="12" t="str">
        <x:v>2020</x:v>
      </x:c>
      <x:c r="K14" s="12" t="str">
        <x:v>본인 박사지원서 연구프로젝트 참여 2번 및 Python 협업·논문작성 서술.</x:v>
      </x:c>
      <x:c r="L14" s="12" t="str">
        <x:v>R05 AI 플랫폼 사업의 연관 연구일 가능성이 있어 독립 수주 과제로 중복 집계하지 않음. 독립 보고서 미확보.</x:v>
      </x:c>
      <x:c r="M14" s="14" t="n">
        <x:v>0</x:v>
      </x:c>
      <x:c r="N14" s="12" t="str">
        <x:v>미확보</x:v>
      </x:c>
      <x:c r="O14" s="12" t="str">
        <x:v>미확보</x:v>
      </x:c>
      <x:c r="P14" s="12" t="str"/>
      <x:c r="Q14" s="12" t="str">
        <x:v>D:\Users\overo\Downloads\i0w8iBoverod20.hwp (연구참여 목록)</x:v>
      </x:c>
      <x:c r="R14" s="12" t="str">
        <x:v>미확보</x:v>
      </x:c>
    </x:row>
    <x:row r="15" ht="66" customHeight="1">
      <x:c r="A15" s="11" t="str">
        <x:v>R07</x:v>
      </x:c>
      <x:c r="B15" s="15" t="n">
        <x:v>2020</x:v>
      </x:c>
      <x:c r="C15" s="11" t="str">
        <x:v>연구과제·보고서</x:v>
      </x:c>
      <x:c r="D15" s="13" t="str">
        <x:v>남북한 교정비교론 연구개발 결과보고서</x:v>
      </x:c>
      <x:c r="E15" s="13" t="str">
        <x:v>경기대학교</x:v>
      </x:c>
      <x:c r="F15" s="13" t="str">
        <x:v>참여 연구원</x:v>
      </x:c>
      <x:c r="G15" s="13" t="str">
        <x:v>원문·공식 확인</x:v>
      </x:c>
      <x:c r="H15" s="13" t="str">
        <x:v>완료</x:v>
      </x:c>
      <x:c r="I15" s="13" t="str">
        <x:v>미상</x:v>
      </x:c>
      <x:c r="J15" s="13" t="str">
        <x:v>2020.09</x:v>
      </x:c>
      <x:c r="K15" s="13" t="str">
        <x:v>2020.09.28 본인 제출메일에 공정식 교수·권준성 연구원 명시. 결과보고서 첨부 확보.</x:v>
      </x:c>
      <x:c r="L15" s="13" t="str">
        <x:v>2020년 학과(전공) 교과 연계 평화·통일 융합교과목 연구개발.</x:v>
      </x:c>
      <x:c r="M15" s="15" t="n">
        <x:v>1</x:v>
      </x:c>
      <x:c r="N15" s="13" t="str">
        <x:v>D:\연구실적_정리_20261026\outputs\research_20261026\01_연구과제와보고서\2020\R07_남북한 교정비교론 연구개발 결과보고서\01_남북한 교정비교론 연구개발 결과보고서.hwp</x:v>
      </x:c>
      <x:c r="O15" s="13" t="str">
        <x:v>보고서 원문</x:v>
      </x:c>
      <x:c r="P15" s="13" t="str">
        <x:v>https://mail.google.com/mail/u/?authuser=overod998%40gmail.com#all/174d24663c709bd0</x:v>
      </x:c>
      <x:c r="Q15" s="13" t="str"/>
      <x:c r="R15" s="13" t="str">
        <x:v>D:\연구실적_정리_20261026\outputs\research_20261026\01_연구과제와보고서\2020\R07_남북한 교정비교론 연구개발 결과보고서</x:v>
      </x:c>
    </x:row>
    <x:row r="16" ht="66" customHeight="1">
      <x:c r="A16" s="10" t="str">
        <x:v>W02</x:v>
      </x:c>
      <x:c r="B16" s="14" t="n">
        <x:v>2020</x:v>
      </x:c>
      <x:c r="C16" s="10" t="str">
        <x:v>업무실적</x:v>
      </x:c>
      <x:c r="D16" s="12" t="str">
        <x:v>핵심역량 진단 도구 개발·측정지표 설정 및 교육성과 분석</x:v>
      </x:c>
      <x:c r="E16" s="12" t="str">
        <x:v>경기대학교 교육혁신처</x:v>
      </x:c>
      <x:c r="F16" s="12" t="str">
        <x:v>연구원</x:v>
      </x:c>
      <x:c r="G16" s="12" t="str">
        <x:v>참여기록 확인</x:v>
      </x:c>
      <x:c r="H16" s="12" t="str">
        <x:v>완료</x:v>
      </x:c>
      <x:c r="I16" s="12" t="str">
        <x:v>2020.04~2021.03(재직)</x:v>
      </x:c>
      <x:c r="J16" s="12" t="str">
        <x:v>해당 없음</x:v>
      </x:c>
      <x:c r="K16" s="12" t="str">
        <x:v>박사지원서 경력 서술에 핵심역량 진단 도구 개발·측정지표 설정 등의 프로젝트 수행 명시.</x:v>
      </x:c>
      <x:c r="L16" s="12" t="str">
        <x:v>개별 프로젝트 공식명·독립 보고서 원문 미확보. 직무실적 묶음으로 보존하며 연구과제·보고서 건수에서 제외.</x:v>
      </x:c>
      <x:c r="M16" s="14" t="n">
        <x:v>0</x:v>
      </x:c>
      <x:c r="N16" s="12" t="str">
        <x:v>미확보</x:v>
      </x:c>
      <x:c r="O16" s="12" t="str">
        <x:v>미확보</x:v>
      </x:c>
      <x:c r="P16" s="12" t="str"/>
      <x:c r="Q16" s="12" t="str">
        <x:v>D:\Users\overo\Downloads\i0w8iBoverod20.hwp (경력 서술)</x:v>
      </x:c>
      <x:c r="R16" s="12" t="str">
        <x:v>미확보</x:v>
      </x:c>
    </x:row>
    <x:row r="17" ht="66" customHeight="1">
      <x:c r="A17" s="11" t="str">
        <x:v>R08</x:v>
      </x:c>
      <x:c r="B17" s="15" t="n">
        <x:v>2021</x:v>
      </x:c>
      <x:c r="C17" s="11" t="str">
        <x:v>연구과제·보고서</x:v>
      </x:c>
      <x:c r="D17" s="13" t="str">
        <x:v>경기도 내 범죄에 의한 사회적 비용 추정 연구</x:v>
      </x:c>
      <x:c r="E17" s="13" t="str">
        <x:v>경기도의회 경기도 행복한 삶 복지연구회 / 경기대학교 산학협력단</x:v>
      </x:c>
      <x:c r="F17" s="13" t="str">
        <x:v>연구원</x:v>
      </x:c>
      <x:c r="G17" s="13" t="str">
        <x:v>원문·공식 확인</x:v>
      </x:c>
      <x:c r="H17" s="13" t="str">
        <x:v>완료</x:v>
      </x:c>
      <x:c r="I17" s="13" t="str">
        <x:v>2020~2021</x:v>
      </x:c>
      <x:c r="J17" s="13" t="str">
        <x:v>2021.02</x:v>
      </x:c>
      <x:c r="K17" s="13" t="str">
        <x:v>원문 연구진에 권준성 연구원. 표지 2021.02. 2020 제안 및 연구참여 기록을 동일 과제로 연결.</x:v>
      </x:c>
      <x:c r="L17" s="13" t="str">
        <x:v>최종 표시 143쪽 PDF 우선. 메일 최종 인쇄 HWP도 보존. 단순 제목 변형은 통합.</x:v>
      </x:c>
      <x:c r="M17" s="15" t="n">
        <x:v>3</x:v>
      </x:c>
      <x:c r="N17" s="13" t="str">
        <x:v>D:\연구실적_정리_20261026\outputs\research_20261026\01_연구과제와보고서\2021\R08_경기도 내 범죄에 의한 사회적 비용 추정 연구\01_준공보고서(경기도 내 범죄에 의한 사회적비용 추정 연구-최종).pdf</x:v>
      </x:c>
      <x:c r="O17" s="13" t="str">
        <x:v>보고서 원문</x:v>
      </x:c>
      <x:c r="P17" s="13" t="str">
        <x:v>https://mail.google.com/mail/u/?authuser=overod998%40gmail.com#all/17861d0e70b82e3e</x:v>
      </x:c>
      <x:c r="Q17" s="13" t="str"/>
      <x:c r="R17" s="13" t="str">
        <x:v>D:\연구실적_정리_20261026\outputs\research_20261026\01_연구과제와보고서\2021\R08_경기도 내 범죄에 의한 사회적 비용 추정 연구</x:v>
      </x:c>
    </x:row>
    <x:row r="18" ht="66" customHeight="1">
      <x:c r="A18" s="10" t="str">
        <x:v>R09</x:v>
      </x:c>
      <x:c r="B18" s="14" t="n">
        <x:v>2021</x:v>
      </x:c>
      <x:c r="C18" s="10" t="str">
        <x:v>연구과제·보고서</x:v>
      </x:c>
      <x:c r="D18" s="12" t="str">
        <x:v>북유럽국가의 법무보호복지제도 및 사례 연구</x:v>
      </x:c>
      <x:c r="E18" s="12" t="str">
        <x:v>한국법무보호복지공단 / 경기대학교 산학협력단</x:v>
      </x:c>
      <x:c r="F18" s="12" t="str">
        <x:v>연구 참여·제3장 스웨덴/핀란드 집필</x:v>
      </x:c>
      <x:c r="G18" s="12" t="str">
        <x:v>참여기록 확인</x:v>
      </x:c>
      <x:c r="H18" s="12" t="str">
        <x:v>완료</x:v>
      </x:c>
      <x:c r="I18" s="12" t="str">
        <x:v>미상</x:v>
      </x:c>
      <x:c r="J18" s="12" t="str">
        <x:v>2021.11</x:v>
      </x:c>
      <x:c r="K18" s="12" t="str">
        <x:v>CV와 박사지원서에 연구원 참여 명시. 초고 내부 분담 메모: 3장 권준성(스웨덴, 핀란드 중심).</x:v>
      </x:c>
      <x:c r="L18" s="12" t="str">
        <x:v>최종본 연구진 표에는 성명이 없어 공식 공동연구원으로 표기하지 않음. 제출문 2021.11.25.</x:v>
      </x:c>
      <x:c r="M18" s="14" t="n">
        <x:v>5</x:v>
      </x:c>
      <x:c r="N18" s="12" t="str">
        <x:v>D:\연구실적_정리_20261026\outputs\research_20261026\01_연구과제와보고서\2021\R09_북유럽국가의 법무보호복지제도 및 사례 연구\01_2021 북유럽 법무보호제도연구용역 -20211115.pdf</x:v>
      </x:c>
      <x:c r="O18" s="12" t="str">
        <x:v>보고서 원문</x:v>
      </x:c>
      <x:c r="P18" s="12" t="str">
        <x:v>https://mail.google.com/mail/u/?authuser=overod998%40gmail.com#all/18867ef8aa072064</x:v>
      </x:c>
      <x:c r="Q18" s="12" t="str">
        <x:v>D:\Users\overo\Downloads\i0w8iBoverod20.hwp (연구참여 목록)</x:v>
      </x:c>
      <x:c r="R18" s="12" t="str">
        <x:v>D:\연구실적_정리_20261026\outputs\research_20261026\01_연구과제와보고서\2021\R09_북유럽국가의 법무보호복지제도 및 사례 연구</x:v>
      </x:c>
    </x:row>
    <x:row r="19" ht="66" customHeight="1">
      <x:c r="A19" s="11" t="str">
        <x:v>R10</x:v>
      </x:c>
      <x:c r="B19" s="15" t="n">
        <x:v>2022</x:v>
      </x:c>
      <x:c r="C19" s="11" t="str">
        <x:v>연구과제·보고서</x:v>
      </x:c>
      <x:c r="D19" s="13" t="str">
        <x:v>지적장애피고인의 형사사법절차상 처우에 관한 연구</x:v>
      </x:c>
      <x:c r="E19" s="13" t="str">
        <x:v>한국형사·법무정책연구원</x:v>
      </x:c>
      <x:c r="F19" s="13" t="str">
        <x:v>연구지원 / 인턴연구원</x:v>
      </x:c>
      <x:c r="G19" s="13" t="str">
        <x:v>원문·공식 확인</x:v>
      </x:c>
      <x:c r="H19" s="13" t="str">
        <x:v>완료</x:v>
      </x:c>
      <x:c r="I19" s="13" t="str">
        <x:v>미상</x:v>
      </x:c>
      <x:c r="J19" s="13" t="str">
        <x:v>2022.12</x:v>
      </x:c>
      <x:c r="K19" s="13" t="str">
        <x:v>공식 간행본 3쪽 연구지원에 권준성 인턴연구원 명시. CV의 2022 참여기록과 일치.</x:v>
      </x:c>
      <x:c r="L19" s="13" t="str">
        <x:v>공식 웹 게시제목은 지적장애피의자 인권보호를 위한 형사사법절차상 처우에 관한 연구. 연구총서 22-A-10 기준 동일 보고서.</x:v>
      </x:c>
      <x:c r="M19" s="15" t="n">
        <x:v>1</x:v>
      </x:c>
      <x:c r="N19" s="13" t="str">
        <x:v>D:\연구실적_정리_20261026\outputs\research_20261026\01_연구과제와보고서\2022\R10_지적장애피고인의 형사사법절차상 처우에 관한 연구\01_22-A-10 지적장애피고인의 형사사법절차상 처우에 관한 연구_내지 최종.pdf</x:v>
      </x:c>
      <x:c r="O19" s="13" t="str">
        <x:v>보고서 원문</x:v>
      </x:c>
      <x:c r="P19" s="13" t="str">
        <x:v>https://www.kicj.re.kr/board.es?act=view&amp;bid=0001&amp;list_no=13289&amp;mid=a10101000000
https://mail.google.com/mail/u/?authuser=overod998%40gmail.com#all/18867ef8aa072064</x:v>
      </x:c>
      <x:c r="Q19" s="13" t="str"/>
      <x:c r="R19" s="13" t="str">
        <x:v>D:\연구실적_정리_20261026\outputs\research_20261026\01_연구과제와보고서\2022\R10_지적장애피고인의 형사사법절차상 처우에 관한 연구</x:v>
      </x:c>
    </x:row>
    <x:row r="20" ht="66" customHeight="1">
      <x:c r="A20" s="10" t="str">
        <x:v>R11</x:v>
      </x:c>
      <x:c r="B20" s="14" t="n">
        <x:v>2022</x:v>
      </x:c>
      <x:c r="C20" s="10" t="str">
        <x:v>연구과제·보고서</x:v>
      </x:c>
      <x:c r="D20" s="12" t="str">
        <x:v>2022년 KEIT 전담관리 R&amp;D사업 성과평가대응 심층분석</x:v>
      </x:c>
      <x:c r="E20" s="12" t="str">
        <x:v>한국산업기술평가관리원 / 다윈전략컨설팅</x:v>
      </x:c>
      <x:c r="F20" s="12" t="str">
        <x:v>다윈전략컨설팅 선임연구원·용역 수행</x:v>
      </x:c>
      <x:c r="G20" s="12" t="str">
        <x:v>원문·공식 확인</x:v>
      </x:c>
      <x:c r="H20" s="12" t="str">
        <x:v>완료</x:v>
      </x:c>
      <x:c r="I20" s="12" t="str">
        <x:v>2022(재직 01.12~04.30)</x:v>
      </x:c>
      <x:c r="J20" s="12" t="str">
        <x:v>2022</x:v>
      </x:c>
      <x:c r="K20" s="12" t="str">
        <x:v>2022.01.12 본인 업무메일에 권준성·소속·용역명 명시. 차세대하이브리드PCB기술개발사업 담당, 별도 전자부품산업기술개발 관련 회신.</x:v>
      </x:c>
      <x:c r="L20" s="12" t="str">
        <x:v>최종 용역보고서 미확보. 재직증명 기간 2022.01.12~04.30과 과제 전체기간은 구분.</x:v>
      </x:c>
      <x:c r="M20" s="14" t="n">
        <x:v>0</x:v>
      </x:c>
      <x:c r="N20" s="12" t="str">
        <x:v>미확보</x:v>
      </x:c>
      <x:c r="O20" s="12" t="str">
        <x:v>미확보</x:v>
      </x:c>
      <x:c r="P20" s="12" t="str">
        <x:v>https://mail.google.com/mail/u/?authuser=overod998%40gmail.com#all/17e66ff59b4085b6</x:v>
      </x:c>
      <x:c r="Q20" s="12" t="str">
        <x:v>Gmail 2022.01.17 회신에 포함된 01.12 발송메일; 01.19 회신</x:v>
      </x:c>
      <x:c r="R20" s="12" t="str">
        <x:v>미확보</x:v>
      </x:c>
    </x:row>
    <x:row r="21" ht="66" customHeight="1">
      <x:c r="A21" s="11" t="str">
        <x:v>C01</x:v>
      </x:c>
      <x:c r="B21" s="15" t="n">
        <x:v>2023</x:v>
      </x:c>
      <x:c r="C21" s="11" t="str">
        <x:v>참여 미확인</x:v>
      </x:c>
      <x:c r="D21" s="13" t="str">
        <x:v>형사사법통계 DB 구축사업(ⅩⅧ)</x:v>
      </x:c>
      <x:c r="E21" s="13" t="str">
        <x:v>한국형사·법무정책연구원</x:v>
      </x:c>
      <x:c r="F21" s="13" t="str">
        <x:v>확인 필요</x:v>
      </x:c>
      <x:c r="G21" s="13" t="str">
        <x:v>참여 확인 필요</x:v>
      </x:c>
      <x:c r="H21" s="13" t="str">
        <x:v>확인 필요</x:v>
      </x:c>
      <x:c r="I21" s="13" t="str">
        <x:v>미상</x:v>
      </x:c>
      <x:c r="J21" s="13" t="str">
        <x:v>2023</x:v>
      </x:c>
      <x:c r="K21" s="13" t="str">
        <x:v>파일명 및 본문 제목 확인.</x:v>
      </x:c>
      <x:c r="L21" s="13" t="str">
        <x:v>원문 성명 발견 안 됨. 보유만으로 실적 인정 불가.</x:v>
      </x:c>
      <x:c r="M21" s="15" t="n">
        <x:v>1</x:v>
      </x:c>
      <x:c r="N21" s="13" t="str">
        <x:v>D:\연구실적_정리_20261026\outputs\research_20261026\02_참여확인필요\2023\C01_형사사법통계 DB 구축사업(ⅩⅧ)\01_231115 최종보고서(평가용)_형사사법통계 DB 구축사업(ⅩⅧ).hwp</x:v>
      </x:c>
      <x:c r="O21" s="13" t="str">
        <x:v>최종평가 제출본</x:v>
      </x:c>
      <x:c r="P21" s="13" t="str"/>
      <x:c r="Q21" s="13" t="str"/>
      <x:c r="R21" s="13" t="str">
        <x:v>D:\연구실적_정리_20261026\outputs\research_20261026\02_참여확인필요\2023\C01_형사사법통계 DB 구축사업(ⅩⅧ)</x:v>
      </x:c>
    </x:row>
    <x:row r="22" ht="66" customHeight="1">
      <x:c r="A22" s="10" t="str">
        <x:v>R12</x:v>
      </x:c>
      <x:c r="B22" s="14" t="n">
        <x:v>2023</x:v>
      </x:c>
      <x:c r="C22" s="10" t="str">
        <x:v>연구과제·보고서</x:v>
      </x:c>
      <x:c r="D22" s="12" t="str">
        <x:v>장애통계데이터 아카이브 구축 연구</x:v>
      </x:c>
      <x:c r="E22" s="12" t="str">
        <x:v>한국장애인개발원</x:v>
      </x:c>
      <x:c r="F22" s="12" t="str">
        <x:v>공동연구원(정책연구부 조사패널팀)</x:v>
      </x:c>
      <x:c r="G22" s="12" t="str">
        <x:v>원문·공식 확인</x:v>
      </x:c>
      <x:c r="H22" s="12" t="str">
        <x:v>완료</x:v>
      </x:c>
      <x:c r="I22" s="12" t="str">
        <x:v>미상</x:v>
      </x:c>
      <x:c r="J22" s="12" t="str">
        <x:v>2023.05</x:v>
      </x:c>
      <x:c r="K22" s="12" t="str">
        <x:v>공식 보고서 표지·3쪽 연구진에 권준성 명시. 본인 실적목록과 일치.</x:v>
      </x:c>
      <x:c r="L22" s="12" t="str">
        <x:v>공식 배포본 PDF 및 편집 가능한 HWP 함께 수집.</x:v>
      </x:c>
      <x:c r="M22" s="14" t="n">
        <x:v>2</x:v>
      </x:c>
      <x:c r="N22" s="12" t="str">
        <x:v>D:\연구실적_정리_20261026\outputs\research_20261026\01_연구과제와보고서\2023\R12_장애통계데이터 아카이브 구축 연구\01_2023_장애통계데이터_아카이브구축연구.pdf</x:v>
      </x:c>
      <x:c r="O22" s="12" t="str">
        <x:v>보고서 원문</x:v>
      </x:c>
      <x:c r="P22" s="12" t="str">
        <x:v>https://www.koddi.or.kr/data/research01_view.jsp?brdNum=7417609</x:v>
      </x:c>
      <x:c r="Q22" s="12" t="str"/>
      <x:c r="R22" s="12" t="str">
        <x:v>D:\연구실적_정리_20261026\outputs\research_20261026\01_연구과제와보고서\2023\R12_장애통계데이터 아카이브 구축 연구</x:v>
      </x:c>
    </x:row>
    <x:row r="23" ht="66" customHeight="1">
      <x:c r="A23" s="11" t="str">
        <x:v>R13</x:v>
      </x:c>
      <x:c r="B23" s="15" t="n">
        <x:v>2023</x:v>
      </x:c>
      <x:c r="C23" s="11" t="str">
        <x:v>연구과제·보고서</x:v>
      </x:c>
      <x:c r="D23" s="13" t="str">
        <x:v>2023 장애통계연보</x:v>
      </x:c>
      <x:c r="E23" s="13" t="str">
        <x:v>한국장애인개발원</x:v>
      </x:c>
      <x:c r="F23" s="13" t="str">
        <x:v>공동연구원(정책연구부 조사패널팀)</x:v>
      </x:c>
      <x:c r="G23" s="13" t="str">
        <x:v>원문·공식 확인</x:v>
      </x:c>
      <x:c r="H23" s="13" t="str">
        <x:v>완료</x:v>
      </x:c>
      <x:c r="I23" s="13" t="str">
        <x:v>미상</x:v>
      </x:c>
      <x:c r="J23" s="13" t="str">
        <x:v>2023.09</x:v>
      </x:c>
      <x:c r="K23" s="13" t="str">
        <x:v>공식 보고서 표지·3쪽 연구진에 권준성 명시. 본인 실적목록과 일치.</x:v>
      </x:c>
      <x:c r="L23" s="13" t="str">
        <x:v>공식 배포본 PDF 및 편집 가능한 HWP 함께 수집.</x:v>
      </x:c>
      <x:c r="M23" s="15" t="n">
        <x:v>2</x:v>
      </x:c>
      <x:c r="N23" s="13" t="str">
        <x:v>D:\연구실적_정리_20261026\outputs\research_20261026\01_연구과제와보고서\2023\R13_2023 장애통계연보\01_2023_장애통계연보.pdf</x:v>
      </x:c>
      <x:c r="O23" s="13" t="str">
        <x:v>보고서 원문</x:v>
      </x:c>
      <x:c r="P23" s="13" t="str">
        <x:v>https://www.koddi.or.kr/data/research01_view.jsp?brdNum=7418821</x:v>
      </x:c>
      <x:c r="Q23" s="13" t="str"/>
      <x:c r="R23" s="13" t="str">
        <x:v>D:\연구실적_정리_20261026\outputs\research_20261026\01_연구과제와보고서\2023\R13_2023 장애통계연보</x:v>
      </x:c>
    </x:row>
    <x:row r="24" ht="66" customHeight="1">
      <x:c r="A24" s="10" t="str">
        <x:v>R14</x:v>
      </x:c>
      <x:c r="B24" s="14" t="n">
        <x:v>2023</x:v>
      </x:c>
      <x:c r="C24" s="10" t="str">
        <x:v>연구과제·보고서</x:v>
      </x:c>
      <x:c r="D24" s="12" t="str">
        <x:v>장애인삶 패널조사 데이터 품질연구(2023)</x:v>
      </x:c>
      <x:c r="E24" s="12" t="str">
        <x:v>한국장애인개발원</x:v>
      </x:c>
      <x:c r="F24" s="12" t="str">
        <x:v>공동연구원(정책연구부 조사패널팀)</x:v>
      </x:c>
      <x:c r="G24" s="12" t="str">
        <x:v>원문·공식 확인</x:v>
      </x:c>
      <x:c r="H24" s="12" t="str">
        <x:v>완료</x:v>
      </x:c>
      <x:c r="I24" s="12" t="str">
        <x:v>미상</x:v>
      </x:c>
      <x:c r="J24" s="12" t="str">
        <x:v>2023.10</x:v>
      </x:c>
      <x:c r="K24" s="12" t="str">
        <x:v>공식 보고서 표지·3쪽 연구진에 권준성 명시. 본인 실적목록과 일치.</x:v>
      </x:c>
      <x:c r="L24" s="12" t="str">
        <x:v>공식 배포본 PDF 및 편집 가능한 HWP 함께 수집.</x:v>
      </x:c>
      <x:c r="M24" s="14" t="n">
        <x:v>2</x:v>
      </x:c>
      <x:c r="N24" s="12" t="str">
        <x:v>D:\연구실적_정리_20261026\outputs\research_20261026\01_연구과제와보고서\2023\R14_장애인삶 패널조사 데이터 품질연구(2023)\01_2023_장애인삶패널조사_데이터품질연구.pdf</x:v>
      </x:c>
      <x:c r="O24" s="12" t="str">
        <x:v>보고서 원문</x:v>
      </x:c>
      <x:c r="P24" s="12" t="str">
        <x:v>https://www.koddi.or.kr/data/research01_view.jsp?brdNum=7419142</x:v>
      </x:c>
      <x:c r="Q24" s="12" t="str"/>
      <x:c r="R24" s="12" t="str">
        <x:v>D:\연구실적_정리_20261026\outputs\research_20261026\01_연구과제와보고서\2023\R14_장애인삶 패널조사 데이터 품질연구(2023)</x:v>
      </x:c>
    </x:row>
    <x:row r="25" ht="66" customHeight="1">
      <x:c r="A25" s="11" t="str">
        <x:v>R15</x:v>
      </x:c>
      <x:c r="B25" s="15" t="n">
        <x:v>2024</x:v>
      </x:c>
      <x:c r="C25" s="11" t="str">
        <x:v>연구과제·보고서</x:v>
      </x:c>
      <x:c r="D25" s="13" t="str">
        <x:v>형사사법통계 DB 구축사업(ⅩⅨ)</x:v>
      </x:c>
      <x:c r="E25" s="13" t="str">
        <x:v>한국형사·법무정책연구원</x:v>
      </x:c>
      <x:c r="F25" s="13" t="str">
        <x:v>조사연구원·사업 수행</x:v>
      </x:c>
      <x:c r="G25" s="13" t="str">
        <x:v>원문·공식 확인</x:v>
      </x:c>
      <x:c r="H25" s="13" t="str">
        <x:v>완료</x:v>
      </x:c>
      <x:c r="I25" s="13" t="str">
        <x:v>미상</x:v>
      </x:c>
      <x:c r="J25" s="13" t="str">
        <x:v>2024.12</x:v>
      </x:c>
      <x:c r="K25" s="13" t="str">
        <x:v>공식 간행본 5쪽 발간사에 사업을 함께 수행한 권준성 조사연구원 명시. 자기보고서의 수행실적과 일치.</x:v>
      </x:c>
      <x:c r="L25" s="13" t="str"/>
      <x:c r="M25" s="15" t="n">
        <x:v>2</x:v>
      </x:c>
      <x:c r="N25" s="13" t="str">
        <x:v>D:\연구실적_정리_20261026\outputs\research_20261026\01_연구과제와보고서\2024\R15_형사사법통계 DB 구축사업(ⅩⅨ)\01_2024_형사사법통계DB_XIX.pdf</x:v>
      </x:c>
      <x:c r="O25" s="13" t="str">
        <x:v>보고서 원문</x:v>
      </x:c>
      <x:c r="P25" s="13" t="str">
        <x:v>https://www.kicj.re.kr/board.es?act=view&amp;bid=0025&amp;list_no=14120&amp;mid=a10603020000</x:v>
      </x:c>
      <x:c r="Q25" s="13" t="str"/>
      <x:c r="R25" s="13" t="str">
        <x:v>D:\연구실적_정리_20261026\outputs\research_20261026\01_연구과제와보고서\2024\R15_형사사법통계 DB 구축사업(ⅩⅨ)</x:v>
      </x:c>
    </x:row>
    <x:row r="26" ht="66" customHeight="1">
      <x:c r="A26" s="10" t="str">
        <x:v>R16</x:v>
      </x:c>
      <x:c r="B26" s="14" t="n">
        <x:v>2024</x:v>
      </x:c>
      <x:c r="C26" s="10" t="str">
        <x:v>연구과제·보고서</x:v>
      </x:c>
      <x:c r="D26" s="12" t="str">
        <x:v>전국범죄피해조사(ⅩⅣ): 노인범죄피해실태조사</x:v>
      </x:c>
      <x:c r="E26" s="12" t="str">
        <x:v>한국형사·법무정책연구원</x:v>
      </x:c>
      <x:c r="F26" s="12" t="str">
        <x:v>연구지원 / 조사연구원</x:v>
      </x:c>
      <x:c r="G26" s="12" t="str">
        <x:v>원문·공식 확인</x:v>
      </x:c>
      <x:c r="H26" s="12" t="str">
        <x:v>완료</x:v>
      </x:c>
      <x:c r="I26" s="12" t="str">
        <x:v>미상</x:v>
      </x:c>
      <x:c r="J26" s="12" t="str">
        <x:v>2024.12</x:v>
      </x:c>
      <x:c r="K26" s="12" t="str">
        <x:v>공식 완본 PDF 3쪽·공식 요약본 1쪽 연구지원에 권준성 명시.</x:v>
      </x:c>
      <x:c r="L26" s="12" t="str"/>
      <x:c r="M26" s="14" t="n">
        <x:v>4</x:v>
      </x:c>
      <x:c r="N26" s="12" t="str">
        <x:v>D:\연구실적_정리_20261026\outputs\research_20261026\01_연구과제와보고서\2024\R16_전국범죄피해조사(ⅩⅣ)_ 노인범죄피해실태조사\02_전국범죄피해조사(ⅩⅣ)_노인범죄피해실태조사_내지_최종.pdf</x:v>
      </x:c>
      <x:c r="O26" s="12" t="str">
        <x:v>보고서 원문</x:v>
      </x:c>
      <x:c r="P26" s="12" t="str">
        <x:v>https://www.kicj.re.kr/board.es?act=view&amp;bid=0001&amp;list_no=16054&amp;mid=a10101000000</x:v>
      </x:c>
      <x:c r="Q26" s="12" t="str"/>
      <x:c r="R26" s="12" t="str">
        <x:v>D:\연구실적_정리_20261026\outputs\research_20261026\01_연구과제와보고서\2024\R16_전국범죄피해조사(ⅩⅣ)_ 노인범죄피해실태조사</x:v>
      </x:c>
    </x:row>
    <x:row r="27" ht="66" customHeight="1">
      <x:c r="A27" s="11" t="str">
        <x:v>R17</x:v>
      </x:c>
      <x:c r="B27" s="15" t="n">
        <x:v>2024</x:v>
      </x:c>
      <x:c r="C27" s="11" t="str">
        <x:v>연구과제·보고서</x:v>
      </x:c>
      <x:c r="D27" s="13" t="str">
        <x:v>‘이상동기 범죄’ 예방 및 가해자 관리체계 개선방안</x:v>
      </x:c>
      <x:c r="E27" s="13" t="str">
        <x:v>한국형사·법무정책연구원</x:v>
      </x:c>
      <x:c r="F27" s="13" t="str">
        <x:v>연구지원 / 조사연구원</x:v>
      </x:c>
      <x:c r="G27" s="13" t="str">
        <x:v>원문·공식 확인</x:v>
      </x:c>
      <x:c r="H27" s="13" t="str">
        <x:v>완료</x:v>
      </x:c>
      <x:c r="I27" s="13" t="str">
        <x:v>미상</x:v>
      </x:c>
      <x:c r="J27" s="13" t="str">
        <x:v>2024.12</x:v>
      </x:c>
      <x:c r="K27" s="13" t="str">
        <x:v>공식 완본 PDF 5쪽 연구진 및 8쪽 발간사에 권준성 명시.</x:v>
      </x:c>
      <x:c r="L27" s="13" t="str"/>
      <x:c r="M27" s="15" t="n">
        <x:v>3</x:v>
      </x:c>
      <x:c r="N27" s="13" t="str">
        <x:v>D:\연구실적_정리_20261026\outputs\research_20261026\01_연구과제와보고서\2024\R17_‘이상동기 범죄’ 예방 및 가해자 관리체계 개선방안\02_[인쇄용 내지-0131] 24-B-06(윤정숙-일반) 이상동기 범죄 예방 및 가해자 관리체계 개선방안.pdf</x:v>
      </x:c>
      <x:c r="O27" s="13" t="str">
        <x:v>보고서 원문</x:v>
      </x:c>
      <x:c r="P27" s="13" t="str">
        <x:v>https://www.kicj.re.kr/board.es?act=view&amp;bid=0001&amp;list_no=16058&amp;mid=a10101000000</x:v>
      </x:c>
      <x:c r="Q27" s="13" t="str"/>
      <x:c r="R27" s="13" t="str">
        <x:v>D:\연구실적_정리_20261026\outputs\research_20261026\01_연구과제와보고서\2024\R17_‘이상동기 범죄’ 예방 및 가해자 관리체계 개선방안</x:v>
      </x:c>
    </x:row>
    <x:row r="28" ht="66" customHeight="1">
      <x:c r="A28" s="10" t="str">
        <x:v>R26</x:v>
      </x:c>
      <x:c r="B28" s="14" t="n">
        <x:v>2024</x:v>
      </x:c>
      <x:c r="C28" s="10" t="str">
        <x:v>관련 산출물</x:v>
      </x:c>
      <x:c r="D28" s="12" t="str">
        <x:v>통계청 SDC 데이터를 활용한 청년층의 혼인, 출산에 관한 분석</x:v>
      </x:c>
      <x:c r="E28" s="12" t="str">
        <x:v>통계청 통계데이터 활용대회</x:v>
      </x:c>
      <x:c r="F28" s="12" t="str">
        <x:v>공동 참여 / 장려상</x:v>
      </x:c>
      <x:c r="G28" s="12" t="str">
        <x:v>원문·공식 확인</x:v>
      </x:c>
      <x:c r="H28" s="12" t="str">
        <x:v>완료</x:v>
      </x:c>
      <x:c r="I28" s="12" t="str">
        <x:v>미상</x:v>
      </x:c>
      <x:c r="J28" s="12" t="str">
        <x:v>2024.08(수상)</x:v>
      </x:c>
      <x:c r="K28" s="12" t="str">
        <x:v>2024.08.29 통계청 보도자료 수상명단에 임광현·권준성·하지윤 및 출품작 제목 명시.</x:v>
      </x:c>
      <x:c r="L28" s="12" t="str">
        <x:v>제출일 2024.07.16 표지·작성진 확인. 수집 원고에 미완성 템플릿이 남아 있어 초안으로 보존. 수상은 공식 통계청 자료로 확인. 독립 연구용역과 구분.</x:v>
      </x:c>
      <x:c r="M28" s="14" t="n">
        <x:v>2</x:v>
      </x:c>
      <x:c r="N28" s="12" t="str">
        <x:v>D:\연구실적_정리_20261026\outputs\research_20261026\03_관련산출물\2024\R26_통계청 SDC 데이터를 활용한 청년층의 혼인, 출산에 관한 분석\01_0716_통계데이터활용대회보고서_권준성.hwpx</x:v>
      </x:c>
      <x:c r="O28" s="12" t="str">
        <x:v>대회보고서 초안</x:v>
      </x:c>
      <x:c r="P28" s="12" t="str">
        <x:v>https://www.kostat.go.kr/boardDownload.es?bid=246&amp;list_no=432439&amp;seq=3</x:v>
      </x:c>
      <x:c r="Q28" s="12" t="str"/>
      <x:c r="R28" s="12" t="str">
        <x:v>D:\연구실적_정리_20261026\outputs\research_20261026\03_관련산출물\2024\R26_통계청 SDC 데이터를 활용한 청년층의 혼인, 출산에 관한 분석</x:v>
      </x:c>
    </x:row>
    <x:row r="29" ht="66" customHeight="1">
      <x:c r="A29" s="11" t="str">
        <x:v>W01</x:v>
      </x:c>
      <x:c r="B29" s="15" t="n">
        <x:v>2024</x:v>
      </x:c>
      <x:c r="C29" s="11" t="str">
        <x:v>업무실적</x:v>
      </x:c>
      <x:c r="D29" s="13" t="str">
        <x:v>국민생활안전실태조사 통계 실무</x:v>
      </x:c>
      <x:c r="E29" s="13" t="str">
        <x:v>한국형사·법무정책연구원</x:v>
      </x:c>
      <x:c r="F29" s="13" t="str">
        <x:v>통계 실무 담당</x:v>
      </x:c>
      <x:c r="G29" s="13" t="str">
        <x:v>참여기록 확인</x:v>
      </x:c>
      <x:c r="H29" s="13" t="str">
        <x:v>완료</x:v>
      </x:c>
      <x:c r="I29" s="13" t="str">
        <x:v>2024~2026</x:v>
      </x:c>
      <x:c r="J29" s="13" t="str">
        <x:v>해당 없음</x:v>
      </x:c>
      <x:c r="K29" s="13" t="str">
        <x:v>2024 자기보고서와 2026 자기기술서에 자체품질진단·마이크로데이터 검수·품질개선·예산검토 수행 명시.</x:v>
      </x:c>
      <x:c r="L29" s="13" t="str">
        <x:v>개별 연차 연구보고서와 중복되는 상시 업무이므로 과제·보고서 건수에서 제외.</x:v>
      </x:c>
      <x:c r="M29" s="15" t="n">
        <x:v>0</x:v>
      </x:c>
      <x:c r="N29" s="13" t="str">
        <x:v>미확보</x:v>
      </x:c>
      <x:c r="O29" s="13" t="str">
        <x:v>미확보</x:v>
      </x:c>
      <x:c r="P29" s="13" t="str"/>
      <x:c r="Q29" s="13" t="str">
        <x:v>https://mail.google.com/mail/u/?authuser=overod998%40gmail.com#all/18fb5a2a9629da26</x:v>
      </x:c>
      <x:c r="R29" s="13" t="str">
        <x:v>미확보</x:v>
      </x:c>
    </x:row>
    <x:row r="30" ht="66" customHeight="1">
      <x:c r="A30" s="10" t="str">
        <x:v>C02</x:v>
      </x:c>
      <x:c r="B30" s="14" t="n">
        <x:v>2025</x:v>
      </x:c>
      <x:c r="C30" s="10" t="str">
        <x:v>참여 미확인</x:v>
      </x:c>
      <x:c r="D30" s="12" t="str">
        <x:v>보이스피싱 피해자의 심리분석을 통한 피해예방연구</x:v>
      </x:c>
      <x:c r="E30" s="12" t="str">
        <x:v>수탁연구·한국형사·법무정책연구원</x:v>
      </x:c>
      <x:c r="F30" s="12" t="str">
        <x:v>확인 필요</x:v>
      </x:c>
      <x:c r="G30" s="12" t="str">
        <x:v>참여 확인 필요</x:v>
      </x:c>
      <x:c r="H30" s="12" t="str">
        <x:v>확인 필요</x:v>
      </x:c>
      <x:c r="I30" s="12" t="str">
        <x:v>미상</x:v>
      </x:c>
      <x:c r="J30" s="12" t="str">
        <x:v>2025</x:v>
      </x:c>
      <x:c r="K30" s="12" t="str">
        <x:v>제출본 표지 2025.01.21.</x:v>
      </x:c>
      <x:c r="L30" s="12" t="str">
        <x:v>성명 없음; 연구수행연도/발주기관/역할 별도 증거 확인 필요. 교정요청 메일 수신도 확인했으나 공식 연구 역할은 미확인.</x:v>
      </x:c>
      <x:c r="M30" s="14" t="n">
        <x:v>3</x:v>
      </x:c>
      <x:c r="N30" s="12" t="str">
        <x:v>D:\연구실적_정리_20261026\outputs\research_20261026\02_참여확인필요\2025\C02_보이스피싱 피해자의 심리분석을 통한 피해예방연구\01_[수탁] 보이스피싱 피해자의 심리분석을 통한 피해예방연구_최종보고서(제출).hwpx</x:v>
      </x:c>
      <x:c r="O30" s="12" t="str">
        <x:v>제출·수정본(참여역할 미확인)</x:v>
      </x:c>
      <x:c r="P30" s="12" t="str"/>
      <x:c r="Q30" s="12" t="str"/>
      <x:c r="R30" s="12" t="str">
        <x:v>D:\연구실적_정리_20261026\outputs\research_20261026\02_참여확인필요\2025\C02_보이스피싱 피해자의 심리분석을 통한 피해예방연구</x:v>
      </x:c>
    </x:row>
    <x:row r="31" ht="66" customHeight="1">
      <x:c r="A31" s="11" t="str">
        <x:v>R18</x:v>
      </x:c>
      <x:c r="B31" s="15" t="n">
        <x:v>2025</x:v>
      </x:c>
      <x:c r="C31" s="11" t="str">
        <x:v>연구과제·보고서</x:v>
      </x:c>
      <x:c r="D31" s="13" t="str">
        <x:v>형사사법통계 DB 구축사업(ⅩⅩ)</x:v>
      </x:c>
      <x:c r="E31" s="13" t="str">
        <x:v>한국형사·법무정책연구원</x:v>
      </x:c>
      <x:c r="F31" s="13" t="str">
        <x:v>연구지원 / 조사연구원</x:v>
      </x:c>
      <x:c r="G31" s="13" t="str">
        <x:v>원문·공식 확인</x:v>
      </x:c>
      <x:c r="H31" s="13" t="str">
        <x:v>완료</x:v>
      </x:c>
      <x:c r="I31" s="13" t="str">
        <x:v>미상</x:v>
      </x:c>
      <x:c r="J31" s="13" t="str">
        <x:v>2025.12</x:v>
      </x:c>
      <x:c r="K31" s="13" t="str">
        <x:v>인쇄용 PDF 3쪽 연구지원에 권준성 명시. 발간사 2025.12.</x:v>
      </x:c>
      <x:c r="L31" s="13" t="str">
        <x:v>저장폴더 이름 2026과 실제 보고서 연도 2025를 구분.</x:v>
      </x:c>
      <x:c r="M31" s="15" t="n">
        <x:v>1</x:v>
      </x:c>
      <x:c r="N31" s="13" t="str">
        <x:v>D:\연구실적_정리_20261026\outputs\research_20261026\01_연구과제와보고서\2025\R18_형사사법통계 DB 구축사업(ⅩⅩ)\01_인쇄용_[기본과제_황지태_내지] 형사사법통계 DB 구축사업(XX).pdf</x:v>
      </x:c>
      <x:c r="O31" s="13" t="str">
        <x:v>보고서 원문</x:v>
      </x:c>
      <x:c r="P31" s="13" t="str"/>
      <x:c r="Q31" s="13" t="str"/>
      <x:c r="R31" s="13" t="str">
        <x:v>D:\연구실적_정리_20261026\outputs\research_20261026\01_연구과제와보고서\2025\R18_형사사법통계 DB 구축사업(ⅩⅩ)</x:v>
      </x:c>
    </x:row>
    <x:row r="32" ht="66" customHeight="1">
      <x:c r="A32" s="10" t="str">
        <x:v>R19</x:v>
      </x:c>
      <x:c r="B32" s="14" t="n">
        <x:v>2025</x:v>
      </x:c>
      <x:c r="C32" s="10" t="str">
        <x:v>연구과제·보고서</x:v>
      </x:c>
      <x:c r="D32" s="12" t="str">
        <x:v>전국범죄피해조사 2024</x:v>
      </x:c>
      <x:c r="E32" s="12" t="str">
        <x:v>한국형사·법무정책연구원</x:v>
      </x:c>
      <x:c r="F32" s="12" t="str">
        <x:v>연구지원 / 조사연구원</x:v>
      </x:c>
      <x:c r="G32" s="12" t="str">
        <x:v>원문·공식 확인</x:v>
      </x:c>
      <x:c r="H32" s="12" t="str">
        <x:v>완료</x:v>
      </x:c>
      <x:c r="I32" s="12" t="str">
        <x:v>미상</x:v>
      </x:c>
      <x:c r="J32" s="12" t="str">
        <x:v>2025.12</x:v>
      </x:c>
      <x:c r="K32" s="12" t="str">
        <x:v>공식 PDF 앞 연구진 페이지에 권 준 성 조사연구원 표기.</x:v>
      </x:c>
      <x:c r="L32" s="12" t="str">
        <x:v>제목의 2024는 조사대상연도. 2025 연구 및 보고서로 분류.</x:v>
      </x:c>
      <x:c r="M32" s="14" t="n">
        <x:v>2</x:v>
      </x:c>
      <x:c r="N32" s="12" t="str">
        <x:v>D:\연구실적_정리_20261026\outputs\research_20261026\01_연구과제와보고서\2025\R19_전국범죄피해조사 2024\01_2025_전국범죄피해조사2024.pdf</x:v>
      </x:c>
      <x:c r="O32" s="12" t="str">
        <x:v>보고서 원문</x:v>
      </x:c>
      <x:c r="P32" s="12" t="str">
        <x:v>https://www.kicj.re.kr/board.es?act=view&amp;bid=0001&amp;list_no=17925&amp;mid=a10101000000</x:v>
      </x:c>
      <x:c r="Q32" s="12" t="str"/>
      <x:c r="R32" s="12" t="str">
        <x:v>D:\연구실적_정리_20261026\outputs\research_20261026\01_연구과제와보고서\2025\R19_전국범죄피해조사 2024</x:v>
      </x:c>
    </x:row>
    <x:row r="33" ht="66" customHeight="1">
      <x:c r="A33" s="11" t="str">
        <x:v>R20</x:v>
      </x:c>
      <x:c r="B33" s="15" t="n">
        <x:v>2025</x:v>
      </x:c>
      <x:c r="C33" s="11" t="str">
        <x:v>연구과제·보고서</x:v>
      </x:c>
      <x:c r="D33" s="13" t="str">
        <x:v>국민중심 의료개혁 추진방안에 관한 연구</x:v>
      </x:c>
      <x:c r="E33" s="13" t="str">
        <x:v>보건복지부 / 한국보건사회연구원</x:v>
      </x:c>
      <x:c r="F33" s="13" t="str">
        <x:v>공동연구진 / 한국형사·법무정책연구원 조사연구원</x:v>
      </x:c>
      <x:c r="G33" s="13" t="str">
        <x:v>원문·공식 확인</x:v>
      </x:c>
      <x:c r="H33" s="13" t="str">
        <x:v>완료</x:v>
      </x:c>
      <x:c r="I33" s="13" t="str">
        <x:v>2024.09~2025.05(계약·제출)</x:v>
      </x:c>
      <x:c r="J33" s="13" t="str">
        <x:v>2025.05</x:v>
      </x:c>
      <x:c r="K33" s="13" t="str">
        <x:v>공식 PDF 1쪽 표지·2쪽 공동연구진에 권준성 명시. 3쪽 제출문 2025.5, 용역계약 2024.9.2.</x:v>
      </x:c>
      <x:c r="L33" s="13" t="str"/>
      <x:c r="M33" s="15" t="n">
        <x:v>1</x:v>
      </x:c>
      <x:c r="N33" s="13" t="str">
        <x:v>D:\연구실적_정리_20261026\outputs\research_20261026\01_연구과제와보고서\2025\R20_국민중심 의료개혁 추진방안에 관한 연구\01_2025_국민중심_의료개혁_추진방안에_관한_연구.pdf</x:v>
      </x:c>
      <x:c r="O33" s="13" t="str">
        <x:v>보고서 원문</x:v>
      </x:c>
      <x:c r="P33" s="13" t="str">
        <x:v>https://www.mohw.go.kr/board.es?act=view&amp;bid=0019&amp;list_no=1487190&amp;mid=a10411010100</x:v>
      </x:c>
      <x:c r="Q33" s="13" t="str"/>
      <x:c r="R33" s="13" t="str">
        <x:v>D:\연구실적_정리_20261026\outputs\research_20261026\01_연구과제와보고서\2025\R20_국민중심 의료개혁 추진방안에 관한 연구</x:v>
      </x:c>
    </x:row>
    <x:row r="34" ht="66" customHeight="1">
      <x:c r="A34" s="10" t="str">
        <x:v>R21</x:v>
      </x:c>
      <x:c r="B34" s="14" t="n">
        <x:v>2025</x:v>
      </x:c>
      <x:c r="C34" s="10" t="str">
        <x:v>연구과제·보고서</x:v>
      </x:c>
      <x:c r="D34" s="12" t="str">
        <x:v>자립준비청년의 주거문제와 범죄 가-피해 대응을 위한 법제 검토 연구</x:v>
      </x:c>
      <x:c r="E34" s="12" t="str">
        <x:v>한국형사·법무정책연구원</x:v>
      </x:c>
      <x:c r="F34" s="12" t="str">
        <x:v>연구 참여(자기소개서 근거·간행본 미등재)</x:v>
      </x:c>
      <x:c r="G34" s="12" t="str">
        <x:v>참여기록 확인</x:v>
      </x:c>
      <x:c r="H34" s="12" t="str">
        <x:v>완료</x:v>
      </x:c>
      <x:c r="I34" s="12" t="str">
        <x:v>미상</x:v>
      </x:c>
      <x:c r="J34" s="12" t="str">
        <x:v>2025</x:v>
      </x:c>
      <x:c r="K34" s="12" t="str">
        <x:v>2026 자기소개서에 해당 연구 참여 명시. 공식 연구보고서 확보.</x:v>
      </x:c>
      <x:c r="L34" s="12" t="str">
        <x:v>2026 자기소개서에는 해당 연구 참여를 서술하나 공식 보고서 연구진과 전체 본문에는 성명 없음. 참여 이력과 공식 저자·연구지원 등재를 구분. 제출용 실적에 사용할 경우 담당 역할·증명 추가 확인.</x:v>
      </x:c>
      <x:c r="M34" s="14" t="n">
        <x:v>1</x:v>
      </x:c>
      <x:c r="N34" s="12" t="str">
        <x:v>D:\연구실적_정리_20261026\outputs\research_20261026\01_연구과제와보고서\2025\R21_자립준비청년의 주거문제와 범죄 가-피해 대응을 위한 법제 검토 연구\01_2025_자립준비청년_주거_범죄가피해.pdf</x:v>
      </x:c>
      <x:c r="O34" s="12" t="str">
        <x:v>보고서 원문</x:v>
      </x:c>
      <x:c r="P34" s="12" t="str">
        <x:v>https://www.kicj.re.kr/board.es?act=view&amp;bid=0001&amp;list_no=17900&amp;mid=a10101000000</x:v>
      </x:c>
      <x:c r="Q34" s="12" t="str">
        <x:v>https://docs.google.com/document/d/1WI6CFa_7Rq5uoUGoScohxR6W80J8A88s/edit?usp=drivesdk&amp;ouid=117328268958974711125&amp;rtpof=true&amp;sd=true</x:v>
      </x:c>
      <x:c r="R34" s="12" t="str">
        <x:v>D:\연구실적_정리_20261026\outputs\research_20261026\01_연구과제와보고서\2025\R21_자립준비청년의 주거문제와 범죄 가-피해 대응을 위한 법제 검토 연구</x:v>
      </x:c>
    </x:row>
    <x:row r="35" ht="66" customHeight="1">
      <x:c r="A35" s="11" t="str">
        <x:v>C03</x:v>
      </x:c>
      <x:c r="B35" s="15" t="n">
        <x:v>2026</x:v>
      </x:c>
      <x:c r="C35" s="11" t="str">
        <x:v>참여 미확인</x:v>
      </x:c>
      <x:c r="D35" s="13" t="str">
        <x:v>사법 AI 도입에 따른 법률구조 서비스의 공정성·접근성 확보를 위한 정책적 운영 기준 연구</x:v>
      </x:c>
      <x:c r="E35" s="13" t="str">
        <x:v>한국형사·법무정책연구원 추정</x:v>
      </x:c>
      <x:c r="F35" s="13" t="str">
        <x:v>분석·원고 작성 참여 후보</x:v>
      </x:c>
      <x:c r="G35" s="13" t="str">
        <x:v>참여 확인 필요</x:v>
      </x:c>
      <x:c r="H35" s="13" t="str">
        <x:v>확인 필요</x:v>
      </x:c>
      <x:c r="I35" s="13" t="str">
        <x:v>미상</x:v>
      </x:c>
      <x:c r="J35" s="13" t="str">
        <x:v>2026</x:v>
      </x:c>
      <x:c r="K35" s="13" t="str">
        <x:v>HWP 본문 제목 확인; 원고의 검토기준일/인용접속일 2026. 분석결과 XLSX에 성명 파일명.</x:v>
      </x:c>
      <x:c r="L35" s="13" t="str">
        <x:v>최종이라는 이름이 있으나 4장 추가 중인 작업본. 연구진 명시 없어서 공식 역할 별도 확인 필요.</x:v>
      </x:c>
      <x:c r="M35" s="15" t="n">
        <x:v>2</x:v>
      </x:c>
      <x:c r="N35" s="13" t="str">
        <x:v>D:\연구실적_정리_20261026\outputs\research_20261026\02_참여확인필요\2026\C03_사법 AI 도입에 따른 법률구조 서비스의 공정성·접근성 확보를 위한 정책적 운영 기준 연구\01_최종_4장 추가 중_261017.hwp</x:v>
      </x:c>
      <x:c r="O35" s="13" t="str">
        <x:v>분석·원고 작업본</x:v>
      </x:c>
      <x:c r="P35" s="13" t="str"/>
      <x:c r="Q35" s="13" t="str"/>
      <x:c r="R35" s="13" t="str">
        <x:v>D:\연구실적_정리_20261026\outputs\research_20261026\02_참여확인필요\2026\C03_사법 AI 도입에 따른 법률구조 서비스의 공정성·접근성 확보를 위한 정책적 운영 기준 연구</x:v>
      </x:c>
    </x:row>
    <x:row r="36" ht="66" customHeight="1">
      <x:c r="A36" s="10" t="str">
        <x:v>C04</x:v>
      </x:c>
      <x:c r="B36" s="14" t="n">
        <x:v>2026</x:v>
      </x:c>
      <x:c r="C36" s="10" t="str">
        <x:v>참여 미확인</x:v>
      </x:c>
      <x:c r="D36" s="12" t="str">
        <x:v>범죄 트렌드 관련 성범죄·방화범죄 원고</x:v>
      </x:c>
      <x:c r="E36" s="12" t="str">
        <x:v>확인 필요</x:v>
      </x:c>
      <x:c r="F36" s="12" t="str">
        <x:v>담당장 원고 작업 후보</x:v>
      </x:c>
      <x:c r="G36" s="12" t="str">
        <x:v>참여 확인 필요</x:v>
      </x:c>
      <x:c r="H36" s="12" t="str">
        <x:v>확인 필요</x:v>
      </x:c>
      <x:c r="I36" s="12" t="str">
        <x:v>미상</x:v>
      </x:c>
      <x:c r="J36" s="12" t="str">
        <x:v>2026</x:v>
      </x:c>
      <x:c r="K36" s="12" t="str">
        <x:v>범죄트렌드 폴더 내 성범죄/방화범죄 최종 원고와 독회 PDF.</x:v>
      </x:c>
      <x:c r="L36" s="12" t="str">
        <x:v>보고서의 정식 명칭 및 연구진·발행기관 미확인. 파일명 날짜는 작성년도 단서만 제공.</x:v>
      </x:c>
      <x:c r="M36" s="14" t="n">
        <x:v>2</x:v>
      </x:c>
      <x:c r="N36" s="12" t="str">
        <x:v>D:\연구실적_정리_20261026\outputs\research_20261026\02_참여확인필요\2026\C04_범죄 트렌드 관련 성범죄·방화범죄 원고\01_성범죄_260915_최종.hwp</x:v>
      </x:c>
      <x:c r="O36" s="12" t="str">
        <x:v>분석·원고 작업본</x:v>
      </x:c>
      <x:c r="P36" s="12" t="str"/>
      <x:c r="Q36" s="12" t="str"/>
      <x:c r="R36" s="12" t="str">
        <x:v>D:\연구실적_정리_20261026\outputs\research_20261026\02_참여확인필요\2026\C04_범죄 트렌드 관련 성범죄·방화범죄 원고</x:v>
      </x:c>
    </x:row>
    <x:row r="37" ht="66" customHeight="1">
      <x:c r="A37" s="11" t="str">
        <x:v>R22</x:v>
      </x:c>
      <x:c r="B37" s="15" t="n">
        <x:v>2026</x:v>
      </x:c>
      <x:c r="C37" s="11" t="str">
        <x:v>연구과제·보고서</x:v>
      </x:c>
      <x:c r="D37" s="13" t="str">
        <x:v>형사사법통계 DB구축사업(XXI)</x:v>
      </x:c>
      <x:c r="E37" s="13" t="str">
        <x:v>한국형사·법무정책연구원</x:v>
      </x:c>
      <x:c r="F37" s="13" t="str">
        <x:v>공동연구진 / 조사연구원</x:v>
      </x:c>
      <x:c r="G37" s="13" t="str">
        <x:v>원문·공식 확인</x:v>
      </x:c>
      <x:c r="H37" s="13" t="str">
        <x:v>진행</x:v>
      </x:c>
      <x:c r="I37" s="13" t="str">
        <x:v>2026.01.01~12.31</x:v>
      </x:c>
      <x:c r="J37" s="13" t="str">
        <x:v>미발간</x:v>
      </x:c>
      <x:c r="K37" s="13" t="str">
        <x:v>공식 사업실명제 2026-01 사업수행자에 권준성 조사연구원·연구수행 명시.</x:v>
      </x:c>
      <x:c r="L37" s="13" t="str">
        <x:v>진행 중. 최종보고서 미확보.</x:v>
      </x:c>
      <x:c r="M37" s="15" t="n">
        <x:v>0</x:v>
      </x:c>
      <x:c r="N37" s="13" t="str">
        <x:v>미확보</x:v>
      </x:c>
      <x:c r="O37" s="13" t="str">
        <x:v>미확보</x:v>
      </x:c>
      <x:c r="P37" s="13" t="str">
        <x:v>https://www.kicj.re.kr/board.es?act=view&amp;bid=0025&amp;list_no=18163&amp;mid=a10603020000</x:v>
      </x:c>
      <x:c r="Q37" s="13" t="str"/>
      <x:c r="R37" s="13" t="str">
        <x:v>미확보</x:v>
      </x:c>
    </x:row>
    <x:row r="38" ht="66" customHeight="1">
      <x:c r="A38" s="10" t="str">
        <x:v>R23</x:v>
      </x:c>
      <x:c r="B38" s="14" t="n">
        <x:v>2026</x:v>
      </x:c>
      <x:c r="C38" s="10" t="str">
        <x:v>연구과제·보고서</x:v>
      </x:c>
      <x:c r="D38" s="12" t="str">
        <x:v>민생침해범죄 동향과 정책대안 구축(Ⅲ): 민생침해 악성사기</x:v>
      </x:c>
      <x:c r="E38" s="12" t="str">
        <x:v>한국형사·법무정책연구원</x:v>
      </x:c>
      <x:c r="F38" s="12" t="str">
        <x:v>공동연구진 / 조사연구원</x:v>
      </x:c>
      <x:c r="G38" s="12" t="str">
        <x:v>원문·공식 확인</x:v>
      </x:c>
      <x:c r="H38" s="12" t="str">
        <x:v>진행</x:v>
      </x:c>
      <x:c r="I38" s="12" t="str">
        <x:v>2026.01.01~12.31</x:v>
      </x:c>
      <x:c r="J38" s="12" t="str">
        <x:v>미발간</x:v>
      </x:c>
      <x:c r="K38" s="12" t="str">
        <x:v>착수보고서 연구진·공식 사업실명제 2026-11에 권준성 명시.</x:v>
      </x:c>
      <x:c r="L38" s="12" t="str">
        <x:v>착수보고서 및 결과표 원고 수집. 완성·발간된 최종보고서로 간주하지 않음.</x:v>
      </x:c>
      <x:c r="M38" s="14" t="n">
        <x:v>2</x:v>
      </x:c>
      <x:c r="N38" s="12" t="str">
        <x:v>D:\연구실적_정리_20261026\outputs\research_20261026\01_연구과제와보고서\2026\R23_민생침해범죄 동향과 정책대안 구축(Ⅲ)_ 민생침해 악성사기\01_착수보고서_민생침해범죄 동향과 정책대안 구축.hwp</x:v>
      </x:c>
      <x:c r="O38" s="12" t="str">
        <x:v>착수보고서</x:v>
      </x:c>
      <x:c r="P38" s="12" t="str">
        <x:v>https://kicj.re.kr/board.es?act=view&amp;bid=0025&amp;list_no=18173&amp;mid=a10603020000&amp;tag=</x:v>
      </x:c>
      <x:c r="Q38" s="12" t="str"/>
      <x:c r="R38" s="12" t="str">
        <x:v>D:\연구실적_정리_20261026\outputs\research_20261026\01_연구과제와보고서\2026\R23_민생침해범죄 동향과 정책대안 구축(Ⅲ)_ 민생침해 악성사기</x:v>
      </x:c>
    </x:row>
    <x:row r="39" ht="66" customHeight="1">
      <x:c r="A39" s="11" t="str">
        <x:v>R24</x:v>
      </x:c>
      <x:c r="B39" s="15" t="n">
        <x:v>2026</x:v>
      </x:c>
      <x:c r="C39" s="11" t="str">
        <x:v>연구과제·보고서</x:v>
      </x:c>
      <x:c r="D39" s="13" t="str">
        <x:v>관계성 범죄 피해자 보호를 위한 AI 위기징후 분석 기술 확보 방안 연구</x:v>
      </x:c>
      <x:c r="E39" s="13" t="str">
        <x:v>미래치안 도전기술 개발(융합탐색) / 한국형사·법무정책연구원 공동기관</x:v>
      </x:c>
      <x:c r="F39" s="13" t="str">
        <x:v>참여연구자 / 조사연구원</x:v>
      </x:c>
      <x:c r="G39" s="13" t="str">
        <x:v>원문·공식 확인</x:v>
      </x:c>
      <x:c r="H39" s="13" t="str">
        <x:v>진행</x:v>
      </x:c>
      <x:c r="I39" s="13" t="str">
        <x:v>2026.09.01~2027.02.28</x:v>
      </x:c>
      <x:c r="J39" s="13" t="str">
        <x:v>미발간</x:v>
      </x:c>
      <x:c r="K39" s="13" t="str">
        <x:v>연구윤리 서약서에 RS-2026-25623497·권준성·연구기간 명시.</x:v>
      </x:c>
      <x:c r="L39" s="13" t="str">
        <x:v>진행 중. 착수 회의록·사전기획 초안 수집. 서명·연락처가 있는 서약서는 전체 복제하지 않고 근거 경로만 기록.</x:v>
      </x:c>
      <x:c r="M39" s="15" t="n">
        <x:v>2</x:v>
      </x:c>
      <x:c r="N39" s="13" t="str">
        <x:v>D:\연구실적_정리_20261026\outputs\research_20261026\01_연구과제와보고서\2026\R24_관계성 범죄 피해자 보호를 위한 AI 위기징후 분석 기술 확보 방안 연구\01_1. (회의록) 2026년 미래치안도전기술개발사업 신규과제 착수보고회_261013_관계성.hwp</x:v>
      </x:c>
      <x:c r="O39" s="13" t="str">
        <x:v>착수·사전기획 자료</x:v>
      </x:c>
      <x:c r="P39" s="13" t="str"/>
      <x:c r="Q39" s="13" t="str">
        <x:v>D:\2026\KICJ\연구윤리 청렴 및 보안서약서_공동기관송부.hwp</x:v>
      </x:c>
      <x:c r="R39" s="13" t="str">
        <x:v>D:\연구실적_정리_20261026\outputs\research_20261026\01_연구과제와보고서\2026\R24_관계성 범죄 피해자 보호를 위한 AI 위기징후 분석 기술 확보 방안 연구</x:v>
      </x:c>
    </x:row>
    <x:row r="40" ht="66" customHeight="1">
      <x:c r="A40" s="10" t="str">
        <x:v>R25</x:v>
      </x:c>
      <x:c r="B40" s="14" t="n">
        <x:v>2026</x:v>
      </x:c>
      <x:c r="C40" s="10" t="str">
        <x:v>관련 산출물</x:v>
      </x:c>
      <x:c r="D40" s="12" t="str">
        <x:v>재산범죄, 어떻게 변하고 있나: 2016~2024 피해 추이 분석</x:v>
      </x:c>
      <x:c r="E40" s="12" t="str">
        <x:v>한국형사·법무정책연구원</x:v>
      </x:c>
      <x:c r="F40" s="12" t="str">
        <x:v>작성자 / 조사연구원</x:v>
      </x:c>
      <x:c r="G40" s="12" t="str">
        <x:v>원문·공식 확인</x:v>
      </x:c>
      <x:c r="H40" s="12" t="str">
        <x:v>완료</x:v>
      </x:c>
      <x:c r="I40" s="12" t="str">
        <x:v>미상</x:v>
      </x:c>
      <x:c r="J40" s="12" t="str">
        <x:v>2026.03.23</x:v>
      </x:c>
      <x:c r="K40" s="12" t="str">
        <x:v>공식 이슈통계 2026.03.23 게시물에 권준성 조사연구원 명시.</x:v>
      </x:c>
      <x:c r="L40" s="12" t="str">
        <x:v>연구보고서 R19의 데이터를 활용한 별도 이슈통계 산출물.</x:v>
      </x:c>
      <x:c r="M40" s="14" t="n">
        <x:v>1</x:v>
      </x:c>
      <x:c r="N40" s="12" t="str">
        <x:v>D:\연구실적_정리_20261026\outputs\research_20261026\03_관련산출물\2026\R25_재산범죄, 어떻게 변하고 있나_ 2016~2024 피해 추이 분석\01_이슈통계_재산범죄_권준성_260126.hwpx</x:v>
      </x:c>
      <x:c r="O40" s="12" t="str">
        <x:v>이슈통계 작성 원고</x:v>
      </x:c>
      <x:c r="P40" s="12" t="str">
        <x:v>https://www.kicj.re.kr/board.es?act=view&amp;bid=0059&amp;list_no=17989&amp;mid=a10901030000</x:v>
      </x:c>
      <x:c r="Q40" s="12" t="str"/>
      <x:c r="R40" s="12" t="str">
        <x:v>D:\연구실적_정리_20261026\outputs\research_20261026\03_관련산출물\2026\R25_재산범죄, 어떻게 변하고 있나_ 2016~2024 피해 추이 분석</x:v>
      </x:c>
    </x:row>
  </x:sheetData>
  <x:conditionalFormatting sqref="G6:H40">
    <x:cfRule type="containsText" dxfId="0" priority="1" operator="containsText" text="확인 필요"/>
  </x:conditionalFormatting>
  <x:conditionalFormatting sqref="H6:H40">
    <x:cfRule type="containsText" dxfId="1" priority="2" operator="containsText" text="진행"/>
  </x:conditionalFormatting>
  <x:pageMargins left="0.7" right="0.7" top="0.75" bottom="0.75" header="0.3" footer="0.3"/>
  <x:tableParts count="1">
    <x:tablePart xmlns:r="http://schemas.openxmlformats.org/officeDocument/2006/relationships" r:id="R99f6888e748946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65" hidden="0" customWidth="1"/>
    <x:col min="5" max="5" width="40" hidden="0" customWidth="1"/>
    <x:col min="6" max="6" width="17" hidden="0" customWidth="1"/>
    <x:col min="7" max="7" width="35" hidden="0" customWidth="1"/>
    <x:col min="8" max="8" width="85" hidden="0" customWidth="1"/>
    <x:col min="9" max="9" width="85" hidden="0" customWidth="1"/>
    <x:col min="10" max="10" width="8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수집한 보고서·관련 자료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보고서 전문, 초안, 발췌, 계획서, 관련 자료를 함께 수집했습니다. 파일 상태는 전체실적의 주의사항에서 확인하세요.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8" t="str">
        <x:v>실적 ID</x:v>
      </x:c>
      <x:c r="B5" s="8" t="str">
        <x:v>연도</x:v>
      </x:c>
      <x:c r="C5" s="8" t="str">
        <x:v>과제·보고서명</x:v>
      </x:c>
      <x:c r="D5" s="8" t="str">
        <x:v>수집파일명</x:v>
      </x:c>
      <x:c r="E5" s="8" t="str">
        <x:v>자료 유형</x:v>
      </x:c>
      <x:c r="F5" s="8" t="str">
        <x:v>크기(bytes)</x:v>
      </x:c>
      <x:c r="G5" s="8" t="str">
        <x:v>SHA-256</x:v>
      </x:c>
      <x:c r="H5" s="8" t="str">
        <x:v>수집 경로</x:v>
      </x:c>
      <x:c r="I5" s="8" t="str">
        <x:v>원래 경로</x:v>
      </x:c>
      <x:c r="J5" s="8" t="str">
        <x:v>묶음 내 상대경로</x:v>
      </x:c>
    </x:row>
    <x:row r="6" ht="66" customHeight="1">
      <x:c r="A6" s="10" t="str">
        <x:v>R01</x:v>
      </x:c>
      <x:c r="B6" s="14" t="n">
        <x:v>2018</x:v>
      </x:c>
      <x:c r="C6" s="12" t="str">
        <x:v>비행촉발요인조사서 매뉴얼 개발</x:v>
      </x:c>
      <x:c r="D6" s="12" t="str">
        <x:v>01_비행촉발요인조사 및 면담 지침서 [개정판]  .pdf</x:v>
      </x:c>
      <x:c r="E6" s="12" t="str">
        <x:v>관련 지침서(원연구보고서 여부 미확인)</x:v>
      </x:c>
      <x:c r="F6" s="16" t="n">
        <x:v>398492</x:v>
      </x:c>
      <x:c r="G6" s="12" t="str">
        <x:v>54c91f958dc84ace58b51de3ea5442f4c7f97b94acbc40131521e75c5904666a</x:v>
      </x:c>
      <x:c r="H6" s="12" t="str">
        <x:v>D:\연구실적_정리_20261026\outputs\research_20261026\01_연구과제와보고서\2018\R01_비행촉발요인조사서 매뉴얼 개발\01_비행촉발요인조사 및 면담 지침서 [개정판]  .pdf</x:v>
      </x:c>
      <x:c r="I6" s="12" t="str">
        <x:v>D:\연구실적_정리_20261026\작업자료\cloud_research\비행촉발요인조사 및 면담 지침서 [개정판]  .pdf</x:v>
      </x:c>
      <x:c r="J6" s="12" t="str">
        <x:v>01_연구과제와보고서/2018/R01_비행촉발요인조사서 매뉴얼 개발/01_비행촉발요인조사 및 면담 지침서 [개정판]  .pdf</x:v>
      </x:c>
    </x:row>
    <x:row r="7" ht="66" customHeight="1">
      <x:c r="A7" s="11" t="str">
        <x:v>R02</x:v>
      </x:c>
      <x:c r="B7" s="15" t="n">
        <x:v>2019</x:v>
      </x:c>
      <x:c r="C7" s="13" t="str">
        <x:v>보호대상자용 사회적응 예측지표 개발 연구용역보고서(Ⅰ)</x:v>
      </x:c>
      <x:c r="D7" s="13" t="str">
        <x:v>01_보호대상자용 사회적응 예측지표 개발 연구용역보고서(Ⅰ)_최종_20191126-5.pdf</x:v>
      </x:c>
      <x:c r="E7" s="13" t="str">
        <x:v>보고서 원문</x:v>
      </x:c>
      <x:c r="F7" s="17" t="n">
        <x:v>10594523</x:v>
      </x:c>
      <x:c r="G7" s="13" t="str">
        <x:v>c890b6fa050769cf36a344689201bd9adf039636ec86408ef3626538863e42ec</x:v>
      </x:c>
      <x:c r="H7" s="13" t="str">
        <x:v>D:\연구실적_정리_20261026\outputs\research_20261026\01_연구과제와보고서\2019\R02_보호대상자용 사회적응 예측지표 개발 연구용역보고서(Ⅰ)\01_보호대상자용 사회적응 예측지표 개발 연구용역보고서(Ⅰ)_최종_20191126-5.pdf</x:v>
      </x:c>
      <x:c r="I7" s="13" t="str">
        <x:v>D:\연구실적_정리_20261026\작업자료\cloud_research\보호대상자용 사회적응 예측지표 개발 연구용역보고서(Ⅰ)_최종_20191126-5.pdf</x:v>
      </x:c>
      <x:c r="J7" s="13" t="str">
        <x:v>01_연구과제와보고서/2019/R02_보호대상자용 사회적응 예측지표 개발 연구용역보고서(Ⅰ)/01_보호대상자용 사회적응 예측지표 개발 연구용역보고서(Ⅰ)_최종_20191126-5.pdf</x:v>
      </x:c>
    </x:row>
    <x:row r="8" ht="66" customHeight="1">
      <x:c r="A8" s="10" t="str">
        <x:v>R02</x:v>
      </x:c>
      <x:c r="B8" s="14" t="n">
        <x:v>2019</x:v>
      </x:c>
      <x:c r="C8" s="12" t="str">
        <x:v>보호대상자용 사회적응 예측지표 개발 연구용역보고서(Ⅰ)</x:v>
      </x:c>
      <x:c r="D8" s="12" t="str">
        <x:v>02_제1부보호대상자용+사회적응+예측지표+개발+연구용역보고서(I)_최종_전화번호제외.hwp</x:v>
      </x:c>
      <x:c r="E8" s="12" t="str">
        <x:v>보고서 원문</x:v>
      </x:c>
      <x:c r="F8" s="16" t="n">
        <x:v>11218432</x:v>
      </x:c>
      <x:c r="G8" s="12" t="str">
        <x:v>d4d9264abd4a4f9b0f23b906cdc2f2d27dbfd330c68401249a2f27aced0a545c</x:v>
      </x:c>
      <x:c r="H8" s="12" t="str">
        <x:v>D:\연구실적_정리_20261026\outputs\research_20261026\01_연구과제와보고서\2019\R02_보호대상자용 사회적응 예측지표 개발 연구용역보고서(Ⅰ)\02_제1부보호대상자용+사회적응+예측지표+개발+연구용역보고서(I)_최종_전화번호제외.hwp</x:v>
      </x:c>
      <x:c r="I8" s="12" t="str">
        <x:v>D:\지원\건국대\제1부보호대상자용+사회적응+예측지표+개발+연구용역보고서(I)_최종_전화번호제외.hwp</x:v>
      </x:c>
      <x:c r="J8" s="12" t="str">
        <x:v>01_연구과제와보고서/2019/R02_보호대상자용 사회적응 예측지표 개발 연구용역보고서(Ⅰ)/02_제1부보호대상자용+사회적응+예측지표+개발+연구용역보고서(I)_최종_전화번호제외.hwp</x:v>
      </x:c>
    </x:row>
    <x:row r="9" ht="66" customHeight="1">
      <x:c r="A9" s="11" t="str">
        <x:v>R02</x:v>
      </x:c>
      <x:c r="B9" s="15" t="n">
        <x:v>2019</x:v>
      </x:c>
      <x:c r="C9" s="13" t="str">
        <x:v>보호대상자용 사회적응 예측지표 개발 연구용역보고서(Ⅰ)</x:v>
      </x:c>
      <x:c r="D9" s="13" t="str">
        <x:v>03_사회적응+예측지표+메뉴얼+및+재사회화+척도+문항.pdf</x:v>
      </x:c>
      <x:c r="E9" s="13" t="str">
        <x:v>채점매뉴얼·척도 문항</x:v>
      </x:c>
      <x:c r="F9" s="17" t="n">
        <x:v>619584</x:v>
      </x:c>
      <x:c r="G9" s="13" t="str">
        <x:v>204b9c0ca3e506b801c43abad1a9bcdd7719b914a47ea38af087c37d137c7273</x:v>
      </x:c>
      <x:c r="H9" s="13" t="str">
        <x:v>D:\연구실적_정리_20261026\outputs\research_20261026\01_연구과제와보고서\2019\R02_보호대상자용 사회적응 예측지표 개발 연구용역보고서(Ⅰ)\03_사회적응+예측지표+메뉴얼+및+재사회화+척도+문항.pdf</x:v>
      </x:c>
      <x:c r="I9" s="13" t="str">
        <x:v>D:\Users\overo\Desktop\문서\사회적응+예측지표+메뉴얼+및+재사회화+척도+문항.pdf</x:v>
      </x:c>
      <x:c r="J9" s="13" t="str">
        <x:v>01_연구과제와보고서/2019/R02_보호대상자용 사회적응 예측지표 개발 연구용역보고서(Ⅰ)/03_사회적응+예측지표+메뉴얼+및+재사회화+척도+문항.pdf</x:v>
      </x:c>
    </x:row>
    <x:row r="10" ht="66" customHeight="1">
      <x:c r="A10" s="10" t="str">
        <x:v>R03</x:v>
      </x:c>
      <x:c r="B10" s="14" t="n">
        <x:v>2019</x:v>
      </x:c>
      <x:c r="C10" s="12" t="str">
        <x:v>보호대상자용 회복탄력성 증진 프로그램 개발 연구용역보고서(Ⅱ)</x:v>
      </x:c>
      <x:c r="D10" s="12" t="str">
        <x:v>01_보호대상자용 회복탄력성 증진 프로그램 개발 연구용역보고서(Ⅱ)_최종_20191126-5.pdf</x:v>
      </x:c>
      <x:c r="E10" s="12" t="str">
        <x:v>보고서 원문</x:v>
      </x:c>
      <x:c r="F10" s="16" t="n">
        <x:v>4770334</x:v>
      </x:c>
      <x:c r="G10" s="12" t="str">
        <x:v>57a99710828596318abed75eb06ec2ef71a544d6c5535fb4bb261cc84430e40f</x:v>
      </x:c>
      <x:c r="H10" s="12" t="str">
        <x:v>D:\연구실적_정리_20261026\outputs\research_20261026\01_연구과제와보고서\2019\R03_보호대상자용 회복탄력성 증진 프로그램 개발 연구용역보고서(Ⅱ)\01_보호대상자용 회복탄력성 증진 프로그램 개발 연구용역보고서(Ⅱ)_최종_20191126-5.pdf</x:v>
      </x:c>
      <x:c r="I10" s="12" t="str">
        <x:v>D:\연구실적_정리_20261026\작업자료\cloud_research\보호대상자용 회복탄력성 증진 프로그램 개발 연구용역보고서(Ⅱ)_최종_20191126-5.pdf</x:v>
      </x:c>
      <x:c r="J10" s="12" t="str">
        <x:v>01_연구과제와보고서/2019/R03_보호대상자용 회복탄력성 증진 프로그램 개발 연구용역보고서(Ⅱ)/01_보호대상자용 회복탄력성 증진 프로그램 개발 연구용역보고서(Ⅱ)_최종_20191126-5.pdf</x:v>
      </x:c>
    </x:row>
    <x:row r="11" ht="66" customHeight="1">
      <x:c r="A11" s="11" t="str">
        <x:v>R05</x:v>
      </x:c>
      <x:c r="B11" s="15" t="n">
        <x:v>2020</x:v>
      </x:c>
      <x:c r="C11" s="13" t="str">
        <x:v>출소자의 재범방지를 위한 빅데이터 기반 AI 플랫폼 구축</x:v>
      </x:c>
      <x:c r="D11" s="13" t="str">
        <x:v>01_2020 데이터 플래그십 결과보고서-210115-3.hwp</x:v>
      </x:c>
      <x:c r="E11" s="13" t="str">
        <x:v>보고서 원문</x:v>
      </x:c>
      <x:c r="F11" s="17" t="n">
        <x:v>9979904</x:v>
      </x:c>
      <x:c r="G11" s="13" t="str">
        <x:v>92576aaab192603ceb90e3e9c1caf1031d021849877f613cd8a262338280079b</x:v>
      </x:c>
      <x:c r="H11" s="13" t="str">
        <x:v>D:\연구실적_정리_20261026\outputs\research_20261026\01_연구과제와보고서\2020\R05_출소자의 재범방지를 위한 빅데이터 기반 AI 플랫폼 구축\01_2020 데이터 플래그십 결과보고서-210115-3.hwp</x:v>
      </x:c>
      <x:c r="I11" s="13" t="str">
        <x:v>D:\Users\overo\Documents\카카오톡 받은 파일\2020 데이터 플래그십 결과보고서-210115-3.hwp</x:v>
      </x:c>
      <x:c r="J11" s="13" t="str">
        <x:v>01_연구과제와보고서/2020/R05_출소자의 재범방지를 위한 빅데이터 기반 AI 플랫폼 구축/01_2020 데이터 플래그십 결과보고서-210115-3.hwp</x:v>
      </x:c>
    </x:row>
    <x:row r="12" ht="66" customHeight="1">
      <x:c r="A12" s="10" t="str">
        <x:v>R05</x:v>
      </x:c>
      <x:c r="B12" s="14" t="n">
        <x:v>2020</x:v>
      </x:c>
      <x:c r="C12" s="12" t="str">
        <x:v>출소자의 재범방지를 위한 빅데이터 기반 AI 플랫폼 구축</x:v>
      </x:c>
      <x:c r="D12" s="12" t="str">
        <x:v>02_i0w8iBoverod20.hwp</x:v>
      </x:c>
      <x:c r="E12" s="12" t="str">
        <x:v>보고서 원문</x:v>
      </x:c>
      <x:c r="F12" s="16" t="n">
        <x:v>95232</x:v>
      </x:c>
      <x:c r="G12" s="12" t="str">
        <x:v>e3428cfd4262b10dc79ee5f5dee4afa853920c89ae6eeeb849248fa28f1cc961</x:v>
      </x:c>
      <x:c r="H12" s="12" t="str">
        <x:v>D:\연구실적_정리_20261026\outputs\research_20261026\01_연구과제와보고서\2020\R05_출소자의 재범방지를 위한 빅데이터 기반 AI 플랫폼 구축\02_i0w8iBoverod20.hwp</x:v>
      </x:c>
      <x:c r="I12" s="12" t="str">
        <x:v>D:\Users\overo\Downloads\i0w8iBoverod20.hwp</x:v>
      </x:c>
      <x:c r="J12" s="12" t="str">
        <x:v>01_연구과제와보고서/2020/R05_출소자의 재범방지를 위한 빅데이터 기반 AI 플랫폼 구축/02_i0w8iBoverod20.hwp</x:v>
      </x:c>
    </x:row>
    <x:row r="13" ht="66" customHeight="1">
      <x:c r="A13" s="11" t="str">
        <x:v>R07</x:v>
      </x:c>
      <x:c r="B13" s="15" t="n">
        <x:v>2020</x:v>
      </x:c>
      <x:c r="C13" s="13" t="str">
        <x:v>남북한 교정비교론 연구개발 결과보고서</x:v>
      </x:c>
      <x:c r="D13" s="13" t="str">
        <x:v>01_남북한 교정비교론 연구개발 결과보고서.hwp</x:v>
      </x:c>
      <x:c r="E13" s="13" t="str">
        <x:v>보고서 원문</x:v>
      </x:c>
      <x:c r="F13" s="17" t="n">
        <x:v>641024</x:v>
      </x:c>
      <x:c r="G13" s="13" t="str">
        <x:v>f1e47a430ccae262d8cb5d3b13155b1727af06089a85031214a4e3bc774eb335</x:v>
      </x:c>
      <x:c r="H13" s="13" t="str">
        <x:v>D:\연구실적_정리_20261026\outputs\research_20261026\01_연구과제와보고서\2020\R07_남북한 교정비교론 연구개발 결과보고서\01_남북한 교정비교론 연구개발 결과보고서.hwp</x:v>
      </x:c>
      <x:c r="I13" s="13" t="str">
        <x:v>D:\연구실적_정리_20261026\작업자료\cloud_research\남북한 교정비교론 연구개발 결과보고서.hwp</x:v>
      </x:c>
      <x:c r="J13" s="13" t="str">
        <x:v>01_연구과제와보고서/2020/R07_남북한 교정비교론 연구개발 결과보고서/01_남북한 교정비교론 연구개발 결과보고서.hwp</x:v>
      </x:c>
    </x:row>
    <x:row r="14" ht="66" customHeight="1">
      <x:c r="A14" s="10" t="str">
        <x:v>R08</x:v>
      </x:c>
      <x:c r="B14" s="14" t="n">
        <x:v>2021</x:v>
      </x:c>
      <x:c r="C14" s="12" t="str">
        <x:v>경기도 내 범죄에 의한 사회적 비용 추정 연구</x:v>
      </x:c>
      <x:c r="D14" s="12" t="str">
        <x:v>01_준공보고서(경기도 내 범죄에 의한 사회적비용 추정 연구-최종).pdf</x:v>
      </x:c>
      <x:c r="E14" s="12" t="str">
        <x:v>보고서 원문</x:v>
      </x:c>
      <x:c r="F14" s="16" t="n">
        <x:v>2000521</x:v>
      </x:c>
      <x:c r="G14" s="12" t="str">
        <x:v>bf721e4ffdb2bf6bedcffc72c8147f618cd2611e8324155ecc936dee91884c05</x:v>
      </x:c>
      <x:c r="H14" s="12" t="str">
        <x:v>D:\연구실적_정리_20261026\outputs\research_20261026\01_연구과제와보고서\2021\R08_경기도 내 범죄에 의한 사회적 비용 추정 연구\01_준공보고서(경기도 내 범죄에 의한 사회적비용 추정 연구-최종).pdf</x:v>
      </x:c>
      <x:c r="I14" s="12" t="str">
        <x:v>D:\Users\overo\Desktop\Kwon\준공보고서(경기도 내 범죄에 의한 사회적비용 추정 연구-최종).pdf</x:v>
      </x:c>
      <x:c r="J14" s="12" t="str">
        <x:v>01_연구과제와보고서/2021/R08_경기도 내 범죄에 의한 사회적 비용 추정 연구/01_준공보고서(경기도 내 범죄에 의한 사회적비용 추정 연구-최종).pdf</x:v>
      </x:c>
    </x:row>
    <x:row r="15" ht="66" customHeight="1">
      <x:c r="A15" s="11" t="str">
        <x:v>R08</x:v>
      </x:c>
      <x:c r="B15" s="15" t="n">
        <x:v>2021</x:v>
      </x:c>
      <x:c r="C15" s="13" t="str">
        <x:v>경기도 내 범죄에 의한 사회적 비용 추정 연구</x:v>
      </x:c>
      <x:c r="D15" s="13" t="str">
        <x:v>02_준공보고서(경기도 내 범죄에 의한 사회적비용 추정 연구-최종).hwp</x:v>
      </x:c>
      <x:c r="E15" s="13" t="str">
        <x:v>보고서 원문</x:v>
      </x:c>
      <x:c r="F15" s="17" t="n">
        <x:v>780800</x:v>
      </x:c>
      <x:c r="G15" s="13" t="str">
        <x:v>7742152a01c446f874870926986323059b0f14549824d5f65505e7ab44df6f12</x:v>
      </x:c>
      <x:c r="H15" s="13" t="str">
        <x:v>D:\연구실적_정리_20261026\outputs\research_20261026\01_연구과제와보고서\2021\R08_경기도 내 범죄에 의한 사회적 비용 추정 연구\02_준공보고서(경기도 내 범죄에 의한 사회적비용 추정 연구-최종).hwp</x:v>
      </x:c>
      <x:c r="I15" s="13" t="str">
        <x:v>D:\Users\overo\Desktop\Kwon\준공보고서(경기도 내 범죄에 의한 사회적비용 추정 연구-최종).hwp</x:v>
      </x:c>
      <x:c r="J15" s="13" t="str">
        <x:v>01_연구과제와보고서/2021/R08_경기도 내 범죄에 의한 사회적 비용 추정 연구/02_준공보고서(경기도 내 범죄에 의한 사회적비용 추정 연구-최종).hwp</x:v>
      </x:c>
    </x:row>
    <x:row r="16" ht="66" customHeight="1">
      <x:c r="A16" s="10" t="str">
        <x:v>R08</x:v>
      </x:c>
      <x:c r="B16" s="14" t="n">
        <x:v>2021</x:v>
      </x:c>
      <x:c r="C16" s="12" t="str">
        <x:v>경기도 내 범죄에 의한 사회적 비용 추정 연구</x:v>
      </x:c>
      <x:c r="D16" s="12" t="str">
        <x:v>03_준공보고서(경기도 내 범죄에 의한 사회적비용 추정 연구)-10.hwp</x:v>
      </x:c>
      <x:c r="E16" s="12" t="str">
        <x:v>보고서 원문</x:v>
      </x:c>
      <x:c r="F16" s="16" t="n">
        <x:v>790528</x:v>
      </x:c>
      <x:c r="G16" s="12" t="str">
        <x:v>b93582e8cfbdfc1b04ded842ed5db233cb0261b55a073dbc92a2b186a66ba2d5</x:v>
      </x:c>
      <x:c r="H16" s="12" t="str">
        <x:v>D:\연구실적_정리_20261026\outputs\research_20261026\01_연구과제와보고서\2021\R08_경기도 내 범죄에 의한 사회적 비용 추정 연구\03_준공보고서(경기도 내 범죄에 의한 사회적비용 추정 연구)-10.hwp</x:v>
      </x:c>
      <x:c r="I16" s="12" t="str">
        <x:v>D:\연구실적_정리_20261026\작업자료\cloud_research\준공보고서(경기도 내 범죄에 의한 사회적비용 추정 연구)-10.hwp</x:v>
      </x:c>
      <x:c r="J16" s="12" t="str">
        <x:v>01_연구과제와보고서/2021/R08_경기도 내 범죄에 의한 사회적 비용 추정 연구/03_준공보고서(경기도 내 범죄에 의한 사회적비용 추정 연구)-10.hwp</x:v>
      </x:c>
    </x:row>
    <x:row r="17" ht="66" customHeight="1">
      <x:c r="A17" s="11" t="str">
        <x:v>R09</x:v>
      </x:c>
      <x:c r="B17" s="15" t="n">
        <x:v>2021</x:v>
      </x:c>
      <x:c r="C17" s="13" t="str">
        <x:v>북유럽국가의 법무보호복지제도 및 사례 연구</x:v>
      </x:c>
      <x:c r="D17" s="13" t="str">
        <x:v>01_2021 북유럽 법무보호제도연구용역 -20211115.pdf</x:v>
      </x:c>
      <x:c r="E17" s="13" t="str">
        <x:v>보고서 원문</x:v>
      </x:c>
      <x:c r="F17" s="17" t="n">
        <x:v>4072233</x:v>
      </x:c>
      <x:c r="G17" s="13" t="str">
        <x:v>b6e14aa2572c993edc9672ff95a27009bdc936b64f12f28294a6a6b68c2248aa</x:v>
      </x:c>
      <x:c r="H17" s="13" t="str">
        <x:v>D:\연구실적_정리_20261026\outputs\research_20261026\01_연구과제와보고서\2021\R09_북유럽국가의 법무보호복지제도 및 사례 연구\01_2021 북유럽 법무보호제도연구용역 -20211115.pdf</x:v>
      </x:c>
      <x:c r="I17" s="13" t="str">
        <x:v>D:\Users\overo\Documents\카카오톡 받은 파일\2021 북유럽 법무보호제도연구용역 -20211115.pdf</x:v>
      </x:c>
      <x:c r="J17" s="13" t="str">
        <x:v>01_연구과제와보고서/2021/R09_북유럽국가의 법무보호복지제도 및 사례 연구/01_2021 북유럽 법무보호제도연구용역 -20211115.pdf</x:v>
      </x:c>
    </x:row>
    <x:row r="18" ht="66" customHeight="1">
      <x:c r="A18" s="10" t="str">
        <x:v>R09</x:v>
      </x:c>
      <x:c r="B18" s="14" t="n">
        <x:v>2021</x:v>
      </x:c>
      <x:c r="C18" s="12" t="str">
        <x:v>북유럽국가의 법무보호복지제도 및 사례 연구</x:v>
      </x:c>
      <x:c r="D18" s="12" t="str">
        <x:v>02_2021 북유럽 법무보호제도연구용역(최종)-6.hwp</x:v>
      </x:c>
      <x:c r="E18" s="12" t="str">
        <x:v>보고서 원문</x:v>
      </x:c>
      <x:c r="F18" s="16" t="n">
        <x:v>20196864</x:v>
      </x:c>
      <x:c r="G18" s="12" t="str">
        <x:v>430dc6affc806ff736be79411023a091fd04db56b30accb2e99f3902f40cff64</x:v>
      </x:c>
      <x:c r="H18" s="12" t="str">
        <x:v>D:\연구실적_정리_20261026\outputs\research_20261026\01_연구과제와보고서\2021\R09_북유럽국가의 법무보호복지제도 및 사례 연구\02_2021 북유럽 법무보호제도연구용역(최종)-6.hwp</x:v>
      </x:c>
      <x:c r="I18" s="12" t="str">
        <x:v>D:\Users\overo\Documents\카카오톡 받은 파일\2021 북유럽 법무보호제도연구용역(최종)-6.hwp</x:v>
      </x:c>
      <x:c r="J18" s="12" t="str">
        <x:v>01_연구과제와보고서/2021/R09_북유럽국가의 법무보호복지제도 및 사례 연구/02_2021 북유럽 법무보호제도연구용역(최종)-6.hwp</x:v>
      </x:c>
    </x:row>
    <x:row r="19" ht="66" customHeight="1">
      <x:c r="A19" s="11" t="str">
        <x:v>R09</x:v>
      </x:c>
      <x:c r="B19" s="15" t="n">
        <x:v>2021</x:v>
      </x:c>
      <x:c r="C19" s="13" t="str">
        <x:v>북유럽국가의 법무보호복지제도 및 사례 연구</x:v>
      </x:c>
      <x:c r="D19" s="13" t="str">
        <x:v>03_북유럽 법무보호제도연구용역_004차.hwp</x:v>
      </x:c>
      <x:c r="E19" s="13" t="str">
        <x:v>분담·수정 원고</x:v>
      </x:c>
      <x:c r="F19" s="17" t="n">
        <x:v>17092608</x:v>
      </x:c>
      <x:c r="G19" s="13" t="str">
        <x:v>52d03a8d9182319f75a9c6650d780b20be126c6dac41f8cc856b32db44a86ea8</x:v>
      </x:c>
      <x:c r="H19" s="13" t="str">
        <x:v>D:\연구실적_정리_20261026\outputs\research_20261026\01_연구과제와보고서\2021\R09_북유럽국가의 법무보호복지제도 및 사례 연구\03_북유럽 법무보호제도연구용역_004차.hwp</x:v>
      </x:c>
      <x:c r="I19" s="13" t="str">
        <x:v>D:\Users\overo\Documents\카카오톡 받은 파일\북유럽 법무보호제도연구용역_004차.hwp</x:v>
      </x:c>
      <x:c r="J19" s="13" t="str">
        <x:v>01_연구과제와보고서/2021/R09_북유럽국가의 법무보호복지제도 및 사례 연구/03_북유럽 법무보호제도연구용역_004차.hwp</x:v>
      </x:c>
    </x:row>
    <x:row r="20" ht="66" customHeight="1">
      <x:c r="A20" s="10" t="str">
        <x:v>R09</x:v>
      </x:c>
      <x:c r="B20" s="14" t="n">
        <x:v>2021</x:v>
      </x:c>
      <x:c r="C20" s="12" t="str">
        <x:v>북유럽국가의 법무보호복지제도 및 사례 연구</x:v>
      </x:c>
      <x:c r="D20" s="12" t="str">
        <x:v>04_2021 북유럽 법무보호제도연구용역(권준성 수정).hwp</x:v>
      </x:c>
      <x:c r="E20" s="12" t="str">
        <x:v>분담·수정 원고</x:v>
      </x:c>
      <x:c r="F20" s="16" t="n">
        <x:v>20110336</x:v>
      </x:c>
      <x:c r="G20" s="12" t="str">
        <x:v>6b08d6272d721de07c8eea041f34b99aef3120ff6dd028ea10c4589da6675264</x:v>
      </x:c>
      <x:c r="H20" s="12" t="str">
        <x:v>D:\연구실적_정리_20261026\outputs\research_20261026\01_연구과제와보고서\2021\R09_북유럽국가의 법무보호복지제도 및 사례 연구\04_2021 북유럽 법무보호제도연구용역(권준성 수정).hwp</x:v>
      </x:c>
      <x:c r="I20" s="12" t="str">
        <x:v>D:\Users\overo\Documents\카카오톡 받은 파일\2021 북유럽 법무보호제도연구용역(권준성 수정).hwp</x:v>
      </x:c>
      <x:c r="J20" s="12" t="str">
        <x:v>01_연구과제와보고서/2021/R09_북유럽국가의 법무보호복지제도 및 사례 연구/04_2021 북유럽 법무보호제도연구용역(권준성 수정).hwp</x:v>
      </x:c>
    </x:row>
    <x:row r="21" ht="66" customHeight="1">
      <x:c r="A21" s="11" t="str">
        <x:v>R10</x:v>
      </x:c>
      <x:c r="B21" s="15" t="n">
        <x:v>2022</x:v>
      </x:c>
      <x:c r="C21" s="13" t="str">
        <x:v>지적장애피고인의 형사사법절차상 처우에 관한 연구</x:v>
      </x:c>
      <x:c r="D21" s="13" t="str">
        <x:v>01_22-A-10 지적장애피고인의 형사사법절차상 처우에 관한 연구_내지 최종.pdf</x:v>
      </x:c>
      <x:c r="E21" s="13" t="str">
        <x:v>보고서 원문</x:v>
      </x:c>
      <x:c r="F21" s="17" t="n">
        <x:v>12763005</x:v>
      </x:c>
      <x:c r="G21" s="13" t="str">
        <x:v>4761bafe5d29f60b9d6bc1bd9f80fb91057800be4dc1f1a1256dd014b8ad4baa</x:v>
      </x:c>
      <x:c r="H21" s="13" t="str">
        <x:v>D:\연구실적_정리_20261026\outputs\research_20261026\01_연구과제와보고서\2022\R10_지적장애피고인의 형사사법절차상 처우에 관한 연구\01_22-A-10 지적장애피고인의 형사사법절차상 처우에 관한 연구_내지 최종.pdf</x:v>
      </x:c>
      <x:c r="I21" s="13" t="str">
        <x:v>D:\연구실적_정리_20261026\작업자료\web\지적장애피고인_원본\22-A-10 지적장애피고인의 형사사법절차상 처우에 관한 연구_내지 최종.pdf</x:v>
      </x:c>
      <x:c r="J21" s="13" t="str">
        <x:v>01_연구과제와보고서/2022/R10_지적장애피고인의 형사사법절차상 처우에 관한 연구/01_22-A-10 지적장애피고인의 형사사법절차상 처우에 관한 연구_내지 최종.pdf</x:v>
      </x:c>
    </x:row>
    <x:row r="22" ht="66" customHeight="1">
      <x:c r="A22" s="10" t="str">
        <x:v>C01</x:v>
      </x:c>
      <x:c r="B22" s="14" t="n">
        <x:v>2023</x:v>
      </x:c>
      <x:c r="C22" s="12" t="str">
        <x:v>형사사법통계 DB 구축사업(ⅩⅧ)</x:v>
      </x:c>
      <x:c r="D22" s="12" t="str">
        <x:v>01_231115 최종보고서(평가용)_형사사법통계 DB 구축사업(ⅩⅧ).hwp</x:v>
      </x:c>
      <x:c r="E22" s="12" t="str">
        <x:v>최종평가 제출본</x:v>
      </x:c>
      <x:c r="F22" s="16" t="n">
        <x:v>23105536</x:v>
      </x:c>
      <x:c r="G22" s="12" t="str">
        <x:v>46ef96ead43923f4301533061196a5d0dc570e0265bd774c9e79cfa9a89402fc</x:v>
      </x:c>
      <x:c r="H22" s="12" t="str">
        <x:v>D:\연구실적_정리_20261026\outputs\research_20261026\02_참여확인필요\2023\C01_형사사법통계 DB 구축사업(ⅩⅧ)\01_231115 최종보고서(평가용)_형사사법통계 DB 구축사업(ⅩⅧ).hwp</x:v>
      </x:c>
      <x:c r="I22" s="12" t="str">
        <x:v>C:\Users\overo\Documents\카카오워크 받은 파일\231115 최종보고서(평가용)_형사사법통계 DB 구축사업(ⅩⅧ).hwp</x:v>
      </x:c>
      <x:c r="J22" s="12" t="str">
        <x:v>02_참여확인필요/2023/C01_형사사법통계 DB 구축사업(ⅩⅧ)/01_231115 최종보고서(평가용)_형사사법통계 DB 구축사업(ⅩⅧ).hwp</x:v>
      </x:c>
    </x:row>
    <x:row r="23" ht="66" customHeight="1">
      <x:c r="A23" s="11" t="str">
        <x:v>R12</x:v>
      </x:c>
      <x:c r="B23" s="15" t="n">
        <x:v>2023</x:v>
      </x:c>
      <x:c r="C23" s="13" t="str">
        <x:v>장애통계데이터 아카이브 구축 연구</x:v>
      </x:c>
      <x:c r="D23" s="13" t="str">
        <x:v>01_2023_장애통계데이터_아카이브구축연구.pdf</x:v>
      </x:c>
      <x:c r="E23" s="13" t="str">
        <x:v>보고서 원문</x:v>
      </x:c>
      <x:c r="F23" s="17" t="n">
        <x:v>9291931</x:v>
      </x:c>
      <x:c r="G23" s="13" t="str">
        <x:v>312ac4e6f6b8a94d8be02db992cf7dc1df19989144f55b353cea853609a57be2</x:v>
      </x:c>
      <x:c r="H23" s="13" t="str">
        <x:v>D:\연구실적_정리_20261026\outputs\research_20261026\01_연구과제와보고서\2023\R12_장애통계데이터 아카이브 구축 연구\01_2023_장애통계데이터_아카이브구축연구.pdf</x:v>
      </x:c>
      <x:c r="I23" s="13" t="str">
        <x:v>D:\연구실적_정리_20261026\작업자료\web\2023_장애통계데이터_아카이브구축연구.pdf</x:v>
      </x:c>
      <x:c r="J23" s="13" t="str">
        <x:v>01_연구과제와보고서/2023/R12_장애통계데이터 아카이브 구축 연구/01_2023_장애통계데이터_아카이브구축연구.pdf</x:v>
      </x:c>
    </x:row>
    <x:row r="24" ht="66" customHeight="1">
      <x:c r="A24" s="10" t="str">
        <x:v>R12</x:v>
      </x:c>
      <x:c r="B24" s="14" t="n">
        <x:v>2023</x:v>
      </x:c>
      <x:c r="C24" s="12" t="str">
        <x:v>장애통계데이터 아카이브 구축 연구</x:v>
      </x:c>
      <x:c r="D24" s="12" t="str">
        <x:v>02_2023_장애통계데이터_아카이브구축연구.hwp</x:v>
      </x:c>
      <x:c r="E24" s="12" t="str">
        <x:v>보고서 원문</x:v>
      </x:c>
      <x:c r="F24" s="16" t="n">
        <x:v>8226816</x:v>
      </x:c>
      <x:c r="G24" s="12" t="str">
        <x:v>1de2b0d769866adf59d3918edeb6ab2dc413b6d5aa9408434167b1779cfdd889</x:v>
      </x:c>
      <x:c r="H24" s="12" t="str">
        <x:v>D:\연구실적_정리_20261026\outputs\research_20261026\01_연구과제와보고서\2023\R12_장애통계데이터 아카이브 구축 연구\02_2023_장애통계데이터_아카이브구축연구.hwp</x:v>
      </x:c>
      <x:c r="I24" s="12" t="str">
        <x:v>D:\연구실적_정리_20261026\작업자료\web\2023_장애통계데이터_아카이브구축연구.hwp</x:v>
      </x:c>
      <x:c r="J24" s="12" t="str">
        <x:v>01_연구과제와보고서/2023/R12_장애통계데이터 아카이브 구축 연구/02_2023_장애통계데이터_아카이브구축연구.hwp</x:v>
      </x:c>
    </x:row>
    <x:row r="25" ht="66" customHeight="1">
      <x:c r="A25" s="11" t="str">
        <x:v>R13</x:v>
      </x:c>
      <x:c r="B25" s="15" t="n">
        <x:v>2023</x:v>
      </x:c>
      <x:c r="C25" s="13" t="str">
        <x:v>2023 장애통계연보</x:v>
      </x:c>
      <x:c r="D25" s="13" t="str">
        <x:v>01_2023_장애통계연보.pdf</x:v>
      </x:c>
      <x:c r="E25" s="13" t="str">
        <x:v>보고서 원문</x:v>
      </x:c>
      <x:c r="F25" s="17" t="n">
        <x:v>20160231</x:v>
      </x:c>
      <x:c r="G25" s="13" t="str">
        <x:v>5aadf3b4192b9203b054a3cc1b544440bec95c984255ca60dde7af13faaa329a</x:v>
      </x:c>
      <x:c r="H25" s="13" t="str">
        <x:v>D:\연구실적_정리_20261026\outputs\research_20261026\01_연구과제와보고서\2023\R13_2023 장애통계연보\01_2023_장애통계연보.pdf</x:v>
      </x:c>
      <x:c r="I25" s="13" t="str">
        <x:v>D:\연구실적_정리_20261026\작업자료\web\2023_장애통계연보.pdf</x:v>
      </x:c>
      <x:c r="J25" s="13" t="str">
        <x:v>01_연구과제와보고서/2023/R13_2023 장애통계연보/01_2023_장애통계연보.pdf</x:v>
      </x:c>
    </x:row>
    <x:row r="26" ht="66" customHeight="1">
      <x:c r="A26" s="10" t="str">
        <x:v>R13</x:v>
      </x:c>
      <x:c r="B26" s="14" t="n">
        <x:v>2023</x:v>
      </x:c>
      <x:c r="C26" s="12" t="str">
        <x:v>2023 장애통계연보</x:v>
      </x:c>
      <x:c r="D26" s="12" t="str">
        <x:v>02_2023_장애통계연보.hwp</x:v>
      </x:c>
      <x:c r="E26" s="12" t="str">
        <x:v>보고서 원문</x:v>
      </x:c>
      <x:c r="F26" s="16" t="n">
        <x:v>21020672</x:v>
      </x:c>
      <x:c r="G26" s="12" t="str">
        <x:v>64ecbee9a0e1ad0f3f4ea26f437772bef9262f634457c15fd644a82a73cb85a8</x:v>
      </x:c>
      <x:c r="H26" s="12" t="str">
        <x:v>D:\연구실적_정리_20261026\outputs\research_20261026\01_연구과제와보고서\2023\R13_2023 장애통계연보\02_2023_장애통계연보.hwp</x:v>
      </x:c>
      <x:c r="I26" s="12" t="str">
        <x:v>D:\연구실적_정리_20261026\작업자료\web\2023_장애통계연보.hwp</x:v>
      </x:c>
      <x:c r="J26" s="12" t="str">
        <x:v>01_연구과제와보고서/2023/R13_2023 장애통계연보/02_2023_장애통계연보.hwp</x:v>
      </x:c>
    </x:row>
    <x:row r="27" ht="66" customHeight="1">
      <x:c r="A27" s="11" t="str">
        <x:v>R14</x:v>
      </x:c>
      <x:c r="B27" s="15" t="n">
        <x:v>2023</x:v>
      </x:c>
      <x:c r="C27" s="13" t="str">
        <x:v>장애인삶 패널조사 데이터 품질연구(2023)</x:v>
      </x:c>
      <x:c r="D27" s="13" t="str">
        <x:v>01_2023_장애인삶패널조사_데이터품질연구.pdf</x:v>
      </x:c>
      <x:c r="E27" s="13" t="str">
        <x:v>보고서 원문</x:v>
      </x:c>
      <x:c r="F27" s="17" t="n">
        <x:v>4310135</x:v>
      </x:c>
      <x:c r="G27" s="13" t="str">
        <x:v>57f2bb6b9ac44b7b52fb0379b32c01fb8f83521865a9d7771810639d104d094b</x:v>
      </x:c>
      <x:c r="H27" s="13" t="str">
        <x:v>D:\연구실적_정리_20261026\outputs\research_20261026\01_연구과제와보고서\2023\R14_장애인삶 패널조사 데이터 품질연구(2023)\01_2023_장애인삶패널조사_데이터품질연구.pdf</x:v>
      </x:c>
      <x:c r="I27" s="13" t="str">
        <x:v>D:\연구실적_정리_20261026\작업자료\web\2023_장애인삶패널조사_데이터품질연구.pdf</x:v>
      </x:c>
      <x:c r="J27" s="13" t="str">
        <x:v>01_연구과제와보고서/2023/R14_장애인삶 패널조사 데이터 품질연구(2023)/01_2023_장애인삶패널조사_데이터품질연구.pdf</x:v>
      </x:c>
    </x:row>
    <x:row r="28" ht="66" customHeight="1">
      <x:c r="A28" s="10" t="str">
        <x:v>R14</x:v>
      </x:c>
      <x:c r="B28" s="14" t="n">
        <x:v>2023</x:v>
      </x:c>
      <x:c r="C28" s="12" t="str">
        <x:v>장애인삶 패널조사 데이터 품질연구(2023)</x:v>
      </x:c>
      <x:c r="D28" s="12" t="str">
        <x:v>02_2023_장애인삶패널조사_데이터품질연구.hwp</x:v>
      </x:c>
      <x:c r="E28" s="12" t="str">
        <x:v>보고서 원문</x:v>
      </x:c>
      <x:c r="F28" s="16" t="n">
        <x:v>2851840</x:v>
      </x:c>
      <x:c r="G28" s="12" t="str">
        <x:v>56bc06270bea57ad8cdc5c646e56509df04fba3604425d68f6f8caa702b30835</x:v>
      </x:c>
      <x:c r="H28" s="12" t="str">
        <x:v>D:\연구실적_정리_20261026\outputs\research_20261026\01_연구과제와보고서\2023\R14_장애인삶 패널조사 데이터 품질연구(2023)\02_2023_장애인삶패널조사_데이터품질연구.hwp</x:v>
      </x:c>
      <x:c r="I28" s="12" t="str">
        <x:v>D:\연구실적_정리_20261026\작업자료\web\2023_장애인삶패널조사_데이터품질연구.hwp</x:v>
      </x:c>
      <x:c r="J28" s="12" t="str">
        <x:v>01_연구과제와보고서/2023/R14_장애인삶 패널조사 데이터 품질연구(2023)/02_2023_장애인삶패널조사_데이터품질연구.hwp</x:v>
      </x:c>
    </x:row>
    <x:row r="29" ht="66" customHeight="1">
      <x:c r="A29" s="11" t="str">
        <x:v>R15</x:v>
      </x:c>
      <x:c r="B29" s="15" t="n">
        <x:v>2024</x:v>
      </x:c>
      <x:c r="C29" s="13" t="str">
        <x:v>형사사법통계 DB 구축사업(ⅩⅨ)</x:v>
      </x:c>
      <x:c r="D29" s="13" t="str">
        <x:v>01_2024_형사사법통계DB_XIX.pdf</x:v>
      </x:c>
      <x:c r="E29" s="13" t="str">
        <x:v>보고서 원문</x:v>
      </x:c>
      <x:c r="F29" s="17" t="n">
        <x:v>27177317</x:v>
      </x:c>
      <x:c r="G29" s="13" t="str">
        <x:v>a711b942278dccb4b68098f8e937fb14164acadbbb173ac86dc4b473cac7885f</x:v>
      </x:c>
      <x:c r="H29" s="13" t="str">
        <x:v>D:\연구실적_정리_20261026\outputs\research_20261026\01_연구과제와보고서\2024\R15_형사사법통계 DB 구축사업(ⅩⅨ)\01_2024_형사사법통계DB_XIX.pdf</x:v>
      </x:c>
      <x:c r="I29" s="13" t="str">
        <x:v>D:\연구실적_정리_20261026\작업자료\web\2024_형사사법통계DB_XIX.pdf</x:v>
      </x:c>
      <x:c r="J29" s="13" t="str">
        <x:v>01_연구과제와보고서/2024/R15_형사사법통계 DB 구축사업(ⅩⅨ)/01_2024_형사사법통계DB_XIX.pdf</x:v>
      </x:c>
    </x:row>
    <x:row r="30" ht="66" customHeight="1">
      <x:c r="A30" s="10" t="str">
        <x:v>R15</x:v>
      </x:c>
      <x:c r="B30" s="14" t="n">
        <x:v>2024</x:v>
      </x:c>
      <x:c r="C30" s="12" t="str">
        <x:v>형사사법통계 DB 구축사업(ⅩⅨ)</x:v>
      </x:c>
      <x:c r="D30" s="12" t="str">
        <x:v>02_형사사법통계DB 구축사업(ⅩⅨ)_최종보고서(평가용).hwpx</x:v>
      </x:c>
      <x:c r="E30" s="12" t="str">
        <x:v>최종평가 제출본</x:v>
      </x:c>
      <x:c r="F30" s="16" t="n">
        <x:v>16164468</x:v>
      </x:c>
      <x:c r="G30" s="12" t="str">
        <x:v>33110f018a13c6dcc8245822977281973af50204319ad18d2a3ef095f411ab0c</x:v>
      </x:c>
      <x:c r="H30" s="12" t="str">
        <x:v>D:\연구실적_정리_20261026\outputs\research_20261026\01_연구과제와보고서\2024\R15_형사사법통계 DB 구축사업(ⅩⅨ)\02_형사사법통계DB 구축사업(ⅩⅨ)_최종보고서(평가용).hwpx</x:v>
      </x:c>
      <x:c r="I30" s="12" t="str">
        <x:v>D:\KICJ\2024\DB과제\형사사법통계DB 구축사업(ⅩⅨ)_최종보고서(평가용).hwpx</x:v>
      </x:c>
      <x:c r="J30" s="12" t="str">
        <x:v>01_연구과제와보고서/2024/R15_형사사법통계 DB 구축사업(ⅩⅨ)/02_형사사법통계DB 구축사업(ⅩⅨ)_최종보고서(평가용).hwpx</x:v>
      </x:c>
    </x:row>
    <x:row r="31" ht="66" customHeight="1">
      <x:c r="A31" s="11" t="str">
        <x:v>R16</x:v>
      </x:c>
      <x:c r="B31" s="15" t="n">
        <x:v>2024</x:v>
      </x:c>
      <x:c r="C31" s="13" t="str">
        <x:v>전국범죄피해조사(ⅩⅣ): 노인범죄피해실태조사</x:v>
      </x:c>
      <x:c r="D31" s="13" t="str">
        <x:v>01_(요약) 일반 김지영 전국범죄피해조사-노인범죄피해실태.pdf</x:v>
      </x:c>
      <x:c r="E31" s="13" t="str">
        <x:v>공식 요약본</x:v>
      </x:c>
      <x:c r="F31" s="17" t="n">
        <x:v>419820</x:v>
      </x:c>
      <x:c r="G31" s="13" t="str">
        <x:v>d2c92cc1f0050b230ea63aab8962cdf5937c751fbff0aff1d52d3d8f768ab257</x:v>
      </x:c>
      <x:c r="H31" s="13" t="str">
        <x:v>D:\연구실적_정리_20261026\outputs\research_20261026\01_연구과제와보고서\2024\R16_전국범죄피해조사(ⅩⅣ)_ 노인범죄피해실태조사\01_(요약) 일반 김지영 전국범죄피해조사-노인범죄피해실태.pdf</x:v>
      </x:c>
      <x:c r="I31" s="13" t="str">
        <x:v>D:\연구실적_정리_20261026\작업자료\web\노인범죄피해_원본\(요약) 일반 김지영 전국범죄피해조사-노인범죄피해실태.pdf</x:v>
      </x:c>
      <x:c r="J31" s="13" t="str">
        <x:v>01_연구과제와보고서/2024/R16_전국범죄피해조사(ⅩⅣ)_ 노인범죄피해실태조사/01_(요약) 일반 김지영 전국범죄피해조사-노인범죄피해실태.pdf</x:v>
      </x:c>
    </x:row>
    <x:row r="32" ht="66" customHeight="1">
      <x:c r="A32" s="10" t="str">
        <x:v>R16</x:v>
      </x:c>
      <x:c r="B32" s="14" t="n">
        <x:v>2024</x:v>
      </x:c>
      <x:c r="C32" s="12" t="str">
        <x:v>전국범죄피해조사(ⅩⅣ): 노인범죄피해실태조사</x:v>
      </x:c>
      <x:c r="D32" s="12" t="str">
        <x:v>02_전국범죄피해조사(ⅩⅣ)_노인범죄피해실태조사_내지_최종.pdf</x:v>
      </x:c>
      <x:c r="E32" s="12" t="str">
        <x:v>보고서 원문</x:v>
      </x:c>
      <x:c r="F32" s="16" t="n">
        <x:v>21760296</x:v>
      </x:c>
      <x:c r="G32" s="12" t="str">
        <x:v>50d626f23a0c13d77d0e26b0eb31c09bc6c7566ee2379c10daf00be3de2bbb79</x:v>
      </x:c>
      <x:c r="H32" s="12" t="str">
        <x:v>D:\연구실적_정리_20261026\outputs\research_20261026\01_연구과제와보고서\2024\R16_전국범죄피해조사(ⅩⅣ)_ 노인범죄피해실태조사\02_전국범죄피해조사(ⅩⅣ)_노인범죄피해실태조사_내지_최종.pdf</x:v>
      </x:c>
      <x:c r="I32" s="12" t="str">
        <x:v>D:\연구실적_정리_20261026\작업자료\web\노인범죄피해_원본\전국범죄피해조사(ⅩⅣ)_노인범죄피해실태조사_내지_최종.pdf</x:v>
      </x:c>
      <x:c r="J32" s="12" t="str">
        <x:v>01_연구과제와보고서/2024/R16_전국범죄피해조사(ⅩⅣ)_ 노인범죄피해실태조사/02_전국범죄피해조사(ⅩⅣ)_노인범죄피해실태조사_내지_최종.pdf</x:v>
      </x:c>
    </x:row>
    <x:row r="33" ht="66" customHeight="1">
      <x:c r="A33" s="11" t="str">
        <x:v>R16</x:v>
      </x:c>
      <x:c r="B33" s="15" t="n">
        <x:v>2024</x:v>
      </x:c>
      <x:c r="C33" s="13" t="str">
        <x:v>전국범죄피해조사(ⅩⅣ): 노인범죄피해실태조사</x:v>
      </x:c>
      <x:c r="D33" s="13" t="str">
        <x:v>03_7장_수정(권준성).hwp</x:v>
      </x:c>
      <x:c r="E33" s="13" t="str">
        <x:v>담당장 원고</x:v>
      </x:c>
      <x:c r="F33" s="17" t="n">
        <x:v>171008</x:v>
      </x:c>
      <x:c r="G33" s="13" t="str">
        <x:v>9ba606f6d129e22d00a4eb4bfeb9f3b97f82c99eca42d942520cf6ce893098a4</x:v>
      </x:c>
      <x:c r="H33" s="13" t="str">
        <x:v>D:\연구실적_정리_20261026\outputs\research_20261026\01_연구과제와보고서\2024\R16_전국범죄피해조사(ⅩⅣ)_ 노인범죄피해실태조사\03_7장_수정(권준성).hwp</x:v>
      </x:c>
      <x:c r="I33" s="13" t="str">
        <x:v>D:\KICJ\2024\노인범피\7장_수정(권준성).hwp</x:v>
      </x:c>
      <x:c r="J33" s="13" t="str">
        <x:v>01_연구과제와보고서/2024/R16_전국범죄피해조사(ⅩⅣ)_ 노인범죄피해실태조사/03_7장_수정(권준성).hwp</x:v>
      </x:c>
    </x:row>
    <x:row r="34" ht="66" customHeight="1">
      <x:c r="A34" s="10" t="str">
        <x:v>R16</x:v>
      </x:c>
      <x:c r="B34" s="14" t="n">
        <x:v>2024</x:v>
      </x:c>
      <x:c r="C34" s="12" t="str">
        <x:v>전국범죄피해조사(ⅩⅣ): 노인범죄피해실태조사</x:v>
      </x:c>
      <x:c r="D34" s="12" t="str">
        <x:v>04_제출3장 조사내용 및 방법.hwpx</x:v>
      </x:c>
      <x:c r="E34" s="12" t="str">
        <x:v>담당장 원고</x:v>
      </x:c>
      <x:c r="F34" s="16" t="n">
        <x:v>29838002</x:v>
      </x:c>
      <x:c r="G34" s="12" t="str">
        <x:v>29a8d54d1994189fd985c75a9ae4d99c6396d2a096e3f5f1faede4ed971c10e5</x:v>
      </x:c>
      <x:c r="H34" s="12" t="str">
        <x:v>D:\연구실적_정리_20261026\outputs\research_20261026\01_연구과제와보고서\2024\R16_전국범죄피해조사(ⅩⅣ)_ 노인범죄피해실태조사\04_제출3장 조사내용 및 방법.hwpx</x:v>
      </x:c>
      <x:c r="I34" s="12" t="str">
        <x:v>D:\KICJ\2024\노인범피\제출3장 조사내용 및 방법.hwpx</x:v>
      </x:c>
      <x:c r="J34" s="12" t="str">
        <x:v>01_연구과제와보고서/2024/R16_전국범죄피해조사(ⅩⅣ)_ 노인범죄피해실태조사/04_제출3장 조사내용 및 방법.hwpx</x:v>
      </x:c>
    </x:row>
    <x:row r="35" ht="66" customHeight="1">
      <x:c r="A35" s="11" t="str">
        <x:v>R17</x:v>
      </x:c>
      <x:c r="B35" s="15" t="n">
        <x:v>2024</x:v>
      </x:c>
      <x:c r="C35" s="13" t="str">
        <x:v>‘이상동기 범죄’ 예방 및 가해자 관리체계 개선방안</x:v>
      </x:c>
      <x:c r="D35" s="13" t="str">
        <x:v>01_(요약) 일반 윤정숙 이상동기 범죄예방.pdf</x:v>
      </x:c>
      <x:c r="E35" s="13" t="str">
        <x:v>공식 요약본</x:v>
      </x:c>
      <x:c r="F35" s="17" t="n">
        <x:v>406505</x:v>
      </x:c>
      <x:c r="G35" s="13" t="str">
        <x:v>23b03176dc45078e427b67c10f805acf864e4276e3f7a3437930945866f06986</x:v>
      </x:c>
      <x:c r="H35" s="13" t="str">
        <x:v>D:\연구실적_정리_20261026\outputs\research_20261026\01_연구과제와보고서\2024\R17_‘이상동기 범죄’ 예방 및 가해자 관리체계 개선방안\01_(요약) 일반 윤정숙 이상동기 범죄예방.pdf</x:v>
      </x:c>
      <x:c r="I35" s="13" t="str">
        <x:v>D:\연구실적_정리_20261026\작업자료\web\이상동기범죄_원본\(요약) 일반 윤정숙 이상동기 범죄예방.pdf</x:v>
      </x:c>
      <x:c r="J35" s="13" t="str">
        <x:v>01_연구과제와보고서/2024/R17_‘이상동기 범죄’ 예방 및 가해자 관리체계 개선방안/01_(요약) 일반 윤정숙 이상동기 범죄예방.pdf</x:v>
      </x:c>
    </x:row>
    <x:row r="36" ht="66" customHeight="1">
      <x:c r="A36" s="10" t="str">
        <x:v>R17</x:v>
      </x:c>
      <x:c r="B36" s="14" t="n">
        <x:v>2024</x:v>
      </x:c>
      <x:c r="C36" s="12" t="str">
        <x:v>‘이상동기 범죄’ 예방 및 가해자 관리체계 개선방안</x:v>
      </x:c>
      <x:c r="D36" s="12" t="str">
        <x:v>02_[인쇄용 내지-0131] 24-B-06(윤정숙-일반) 이상동기 범죄 예방 및 가해자 관리체계 개선방안.pdf</x:v>
      </x:c>
      <x:c r="E36" s="12" t="str">
        <x:v>보고서 원문</x:v>
      </x:c>
      <x:c r="F36" s="16" t="n">
        <x:v>5598383</x:v>
      </x:c>
      <x:c r="G36" s="12" t="str">
        <x:v>2164b0c7da643057dce6b96e08030c63806386ee77d6a6a027d1c85c392d0ef5</x:v>
      </x:c>
      <x:c r="H36" s="12" t="str">
        <x:v>D:\연구실적_정리_20261026\outputs\research_20261026\01_연구과제와보고서\2024\R17_‘이상동기 범죄’ 예방 및 가해자 관리체계 개선방안\02_[인쇄용 내지-0131] 24-B-06(윤정숙-일반) 이상동기 범죄 예방 및 가해자 관리체계 개선방안.pdf</x:v>
      </x:c>
      <x:c r="I36" s="12" t="str">
        <x:v>D:\연구실적_정리_20261026\작업자료\web\이상동기범죄_원본\[인쇄용 내지-0131] 24-B-06(윤정숙-일반) 이상동기 범죄 예방 및 가해자 관리체계 개선방안.pdf</x:v>
      </x:c>
      <x:c r="J36" s="12" t="str">
        <x:v>01_연구과제와보고서/2024/R17_‘이상동기 범죄’ 예방 및 가해자 관리체계 개선방안/02_[인쇄용 내지-0131] 24-B-06(윤정숙-일반) 이상동기 범죄 예방 및 가해자 관리체계 개선방안.pdf</x:v>
      </x:c>
    </x:row>
    <x:row r="37" ht="66" customHeight="1">
      <x:c r="A37" s="11" t="str">
        <x:v>R17</x:v>
      </x:c>
      <x:c r="B37" s="15" t="n">
        <x:v>2024</x:v>
      </x:c>
      <x:c r="C37" s="13" t="str">
        <x:v>‘이상동기 범죄’ 예방 및 가해자 관리체계 개선방안</x:v>
      </x:c>
      <x:c r="D37" s="13" t="str">
        <x:v>03_[편집본4차-1227] (윤정숙) 이상동기 범죄 예방 및 가해자 관리체계 개선방안.hwp</x:v>
      </x:c>
      <x:c r="E37" s="13" t="str">
        <x:v>보고서 원문</x:v>
      </x:c>
      <x:c r="F37" s="17" t="n">
        <x:v>4847104</x:v>
      </x:c>
      <x:c r="G37" s="13" t="str">
        <x:v>bd1b557a479d122b7b9a275203b0cf31ad343cb629da8e2d24c1c4e2381e4513</x:v>
      </x:c>
      <x:c r="H37" s="13" t="str">
        <x:v>D:\연구실적_정리_20261026\outputs\research_20261026\01_연구과제와보고서\2024\R17_‘이상동기 범죄’ 예방 및 가해자 관리체계 개선방안\03_[편집본4차-1227] (윤정숙) 이상동기 범죄 예방 및 가해자 관리체계 개선방안.hwp</x:v>
      </x:c>
      <x:c r="I37" s="13" t="str">
        <x:v>D:\연구실적_정리_20261026\작업자료\cloud_research\[편집본4차-1227] (윤정숙) 이상동기 범죄 예방 및 가해자 관리체계 개선방안.hwp</x:v>
      </x:c>
      <x:c r="J37" s="13" t="str">
        <x:v>01_연구과제와보고서/2024/R17_‘이상동기 범죄’ 예방 및 가해자 관리체계 개선방안/03_[편집본4차-1227] (윤정숙) 이상동기 범죄 예방 및 가해자 관리체계 개선방안.hwp</x:v>
      </x:c>
    </x:row>
    <x:row r="38" ht="66" customHeight="1">
      <x:c r="A38" s="10" t="str">
        <x:v>R26</x:v>
      </x:c>
      <x:c r="B38" s="14" t="n">
        <x:v>2024</x:v>
      </x:c>
      <x:c r="C38" s="12" t="str">
        <x:v>통계청 SDC 데이터를 활용한 청년층의 혼인, 출산에 관한 분석</x:v>
      </x:c>
      <x:c r="D38" s="12" t="str">
        <x:v>01_0716_통계데이터활용대회보고서_권준성.hwpx</x:v>
      </x:c>
      <x:c r="E38" s="12" t="str">
        <x:v>대회보고서 초안</x:v>
      </x:c>
      <x:c r="F38" s="16" t="n">
        <x:v>753789</x:v>
      </x:c>
      <x:c r="G38" s="12" t="str">
        <x:v>2bd83345e9fffdd405ab78fbb1570f7a43dbbceb66efb9928cede9c70a52fcb4</x:v>
      </x:c>
      <x:c r="H38" s="12" t="str">
        <x:v>D:\연구실적_정리_20261026\outputs\research_20261026\03_관련산출물\2024\R26_통계청 SDC 데이터를 활용한 청년층의 혼인, 출산에 관한 분석\01_0716_통계데이터활용대회보고서_권준성.hwpx</x:v>
      </x:c>
      <x:c r="I38" s="12" t="str">
        <x:v>D:\Users\overo\Documents\카카오톡 받은 파일\0716_통계데이터활용대회보고서_권준성.hwpx</x:v>
      </x:c>
      <x:c r="J38" s="12" t="str">
        <x:v>03_관련산출물/2024/R26_통계청 SDC 데이터를 활용한 청년층의 혼인, 출산에 관한 분석/01_0716_통계데이터활용대회보고서_권준성.hwpx</x:v>
      </x:c>
    </x:row>
    <x:row r="39" ht="66" customHeight="1">
      <x:c r="A39" s="11" t="str">
        <x:v>R26</x:v>
      </x:c>
      <x:c r="B39" s="15" t="n">
        <x:v>2024</x:v>
      </x:c>
      <x:c r="C39" s="13" t="str">
        <x:v>통계청 SDC 데이터를 활용한 청년층의 혼인, 출산에 관한 분석</x:v>
      </x:c>
      <x:c r="D39" s="13" t="str">
        <x:v>02_0716_통계데이터활용대회보고서_권준성(2).hwpx</x:v>
      </x:c>
      <x:c r="E39" s="13" t="str">
        <x:v>대회보고서 초안</x:v>
      </x:c>
      <x:c r="F39" s="17" t="n">
        <x:v>767513</x:v>
      </x:c>
      <x:c r="G39" s="13" t="str">
        <x:v>36c10b7372d57965947128d5492b12c3b6d52d012adf59c0beca7443ad0a7661</x:v>
      </x:c>
      <x:c r="H39" s="13" t="str">
        <x:v>D:\연구실적_정리_20261026\outputs\research_20261026\03_관련산출물\2024\R26_통계청 SDC 데이터를 활용한 청년층의 혼인, 출산에 관한 분석\02_0716_통계데이터활용대회보고서_권준성(2).hwpx</x:v>
      </x:c>
      <x:c r="I39" s="13" t="str">
        <x:v>D:\Users\overo\Documents\카카오톡 받은 파일\0716_통계데이터활용대회보고서_권준성(2).hwpx</x:v>
      </x:c>
      <x:c r="J39" s="13" t="str">
        <x:v>03_관련산출물/2024/R26_통계청 SDC 데이터를 활용한 청년층의 혼인, 출산에 관한 분석/02_0716_통계데이터활용대회보고서_권준성(2).hwpx</x:v>
      </x:c>
    </x:row>
    <x:row r="40" ht="66" customHeight="1">
      <x:c r="A40" s="10" t="str">
        <x:v>C02</x:v>
      </x:c>
      <x:c r="B40" s="14" t="n">
        <x:v>2025</x:v>
      </x:c>
      <x:c r="C40" s="12" t="str">
        <x:v>보이스피싱 피해자의 심리분석을 통한 피해예방연구</x:v>
      </x:c>
      <x:c r="D40" s="12" t="str">
        <x:v>01_[수탁] 보이스피싱 피해자의 심리분석을 통한 피해예방연구_최종보고서(제출).hwpx</x:v>
      </x:c>
      <x:c r="E40" s="12" t="str">
        <x:v>제출·수정본(참여역할 미확인)</x:v>
      </x:c>
      <x:c r="F40" s="16" t="n">
        <x:v>14103587</x:v>
      </x:c>
      <x:c r="G40" s="12" t="str">
        <x:v>6029076d9406eed329f0b0d21c99d1fbc34131a545ab5d88aeccaabd2d6d3799</x:v>
      </x:c>
      <x:c r="H40" s="12" t="str">
        <x:v>D:\연구실적_정리_20261026\outputs\research_20261026\02_참여확인필요\2025\C02_보이스피싱 피해자의 심리분석을 통한 피해예방연구\01_[수탁] 보이스피싱 피해자의 심리분석을 통한 피해예방연구_최종보고서(제출).hwpx</x:v>
      </x:c>
      <x:c r="I40" s="12" t="str">
        <x:v>C:\Users\overo\Documents\카카오워크 받은 파일\[수탁] 보이스피싱 피해자의 심리분석을 통한 피해예방연구_최종보고서(제출).hwpx</x:v>
      </x:c>
      <x:c r="J40" s="12" t="str">
        <x:v>02_참여확인필요/2025/C02_보이스피싱 피해자의 심리분석을 통한 피해예방연구/01_[수탁] 보이스피싱 피해자의 심리분석을 통한 피해예방연구_최종보고서(제출).hwpx</x:v>
      </x:c>
    </x:row>
    <x:row r="41" ht="66" customHeight="1">
      <x:c r="A41" s="11" t="str">
        <x:v>C02</x:v>
      </x:c>
      <x:c r="B41" s="15" t="n">
        <x:v>2025</x:v>
      </x:c>
      <x:c r="C41" s="13" t="str">
        <x:v>보이스피싱 피해자의 심리분석을 통한 피해예방연구</x:v>
      </x:c>
      <x:c r="D41" s="13" t="str">
        <x:v>02_[수탁] 보이스피싱 피해자의 심리분석을 통한 피해예방연구_최종보고서_윤정숙 수정.hwpx</x:v>
      </x:c>
      <x:c r="E41" s="13" t="str">
        <x:v>제출·수정본(참여역할 미확인)</x:v>
      </x:c>
      <x:c r="F41" s="17" t="n">
        <x:v>14229392</x:v>
      </x:c>
      <x:c r="G41" s="13" t="str">
        <x:v>9b4e9eed6caf2cb9c3fc384ca518000cce868f3ddf871ab08893dab81c16b2bb</x:v>
      </x:c>
      <x:c r="H41" s="13" t="str">
        <x:v>D:\연구실적_정리_20261026\outputs\research_20261026\02_참여확인필요\2025\C02_보이스피싱 피해자의 심리분석을 통한 피해예방연구\02_[수탁] 보이스피싱 피해자의 심리분석을 통한 피해예방연구_최종보고서_윤정숙 수정.hwpx</x:v>
      </x:c>
      <x:c r="I41" s="13" t="str">
        <x:v>C:\Users\overo\Documents\카카오워크 받은 파일\[수탁] 보이스피싱 피해자의 심리분석을 통한 피해예방연구_최종보고서_윤정숙 수정.hwpx</x:v>
      </x:c>
      <x:c r="J41" s="13" t="str">
        <x:v>02_참여확인필요/2025/C02_보이스피싱 피해자의 심리분석을 통한 피해예방연구/02_[수탁] 보이스피싱 피해자의 심리분석을 통한 피해예방연구_최종보고서_윤정숙 수정.hwpx</x:v>
      </x:c>
    </x:row>
    <x:row r="42" ht="66" customHeight="1">
      <x:c r="A42" s="10" t="str">
        <x:v>C02</x:v>
      </x:c>
      <x:c r="B42" s="14" t="n">
        <x:v>2025</x:v>
      </x:c>
      <x:c r="C42" s="12" t="str">
        <x:v>보이스피싱 피해자의 심리분석을 통한 피해예방연구</x:v>
      </x:c>
      <x:c r="D42" s="12" t="str">
        <x:v>03_보이스피싱 피해자의 심리분석을 통한 피해예방연구 내지_1교.hwp</x:v>
      </x:c>
      <x:c r="E42" s="12" t="str">
        <x:v>인쇄 교정 1교</x:v>
      </x:c>
      <x:c r="F42" s="16" t="n">
        <x:v>9305600</x:v>
      </x:c>
      <x:c r="G42" s="12" t="str">
        <x:v>61bc64b956090db20076bd76b7bd52668c9e9483d1855eeaa330bd43128a480a</x:v>
      </x:c>
      <x:c r="H42" s="12" t="str">
        <x:v>D:\연구실적_정리_20261026\outputs\research_20261026\02_참여확인필요\2025\C02_보이스피싱 피해자의 심리분석을 통한 피해예방연구\03_보이스피싱 피해자의 심리분석을 통한 피해예방연구 내지_1교.hwp</x:v>
      </x:c>
      <x:c r="I42" s="12" t="str">
        <x:v>D:\연구실적_정리_20261026\작업자료\cloud_research\보이스피싱 피해자의 심리분석을 통한 피해예방연구 내지_1교.hwp</x:v>
      </x:c>
      <x:c r="J42" s="12" t="str">
        <x:v>02_참여확인필요/2025/C02_보이스피싱 피해자의 심리분석을 통한 피해예방연구/03_보이스피싱 피해자의 심리분석을 통한 피해예방연구 내지_1교.hwp</x:v>
      </x:c>
    </x:row>
    <x:row r="43" ht="66" customHeight="1">
      <x:c r="A43" s="11" t="str">
        <x:v>R18</x:v>
      </x:c>
      <x:c r="B43" s="15" t="n">
        <x:v>2025</x:v>
      </x:c>
      <x:c r="C43" s="13" t="str">
        <x:v>형사사법통계 DB 구축사업(ⅩⅩ)</x:v>
      </x:c>
      <x:c r="D43" s="13" t="str">
        <x:v>01_인쇄용_[기본과제_황지태_내지] 형사사법통계 DB 구축사업(XX).pdf</x:v>
      </x:c>
      <x:c r="E43" s="13" t="str">
        <x:v>보고서 원문</x:v>
      </x:c>
      <x:c r="F43" s="17" t="n">
        <x:v>21020547</x:v>
      </x:c>
      <x:c r="G43" s="13" t="str">
        <x:v>a0676be29effa55e2d267e6d625d50a45d05fa0fe11d09ce10e7fd3af05e6ac3</x:v>
      </x:c>
      <x:c r="H43" s="13" t="str">
        <x:v>D:\연구실적_정리_20261026\outputs\research_20261026\01_연구과제와보고서\2025\R18_형사사법통계 DB 구축사업(ⅩⅩ)\01_인쇄용_[기본과제_황지태_내지] 형사사법통계 DB 구축사업(XX).pdf</x:v>
      </x:c>
      <x:c r="I43" s="13" t="str">
        <x:v>D:\2026\인쇄용_[기본과제_황지태_내지] 형사사법통계 DB 구축사업(XX).pdf</x:v>
      </x:c>
      <x:c r="J43" s="13" t="str">
        <x:v>01_연구과제와보고서/2025/R18_형사사법통계 DB 구축사업(ⅩⅩ)/01_인쇄용_[기본과제_황지태_내지] 형사사법통계 DB 구축사업(XX).pdf</x:v>
      </x:c>
    </x:row>
    <x:row r="44" ht="66" customHeight="1">
      <x:c r="A44" s="10" t="str">
        <x:v>R19</x:v>
      </x:c>
      <x:c r="B44" s="14" t="n">
        <x:v>2025</x:v>
      </x:c>
      <x:c r="C44" s="12" t="str">
        <x:v>전국범죄피해조사 2024</x:v>
      </x:c>
      <x:c r="D44" s="12" t="str">
        <x:v>01_2025_전국범죄피해조사2024.pdf</x:v>
      </x:c>
      <x:c r="E44" s="12" t="str">
        <x:v>보고서 원문</x:v>
      </x:c>
      <x:c r="F44" s="16" t="n">
        <x:v>35643876</x:v>
      </x:c>
      <x:c r="G44" s="12" t="str">
        <x:v>f4c1bd2ef0c9a6ee83098d56f9703f1ae3d9aba26abfd14fedd446205bead061</x:v>
      </x:c>
      <x:c r="H44" s="12" t="str">
        <x:v>D:\연구실적_정리_20261026\outputs\research_20261026\01_연구과제와보고서\2025\R19_전국범죄피해조사 2024\01_2025_전국범죄피해조사2024.pdf</x:v>
      </x:c>
      <x:c r="I44" s="12" t="str">
        <x:v>D:\연구실적_정리_20261026\작업자료\web\2025_전국범죄피해조사2024.pdf</x:v>
      </x:c>
      <x:c r="J44" s="12" t="str">
        <x:v>01_연구과제와보고서/2025/R19_전국범죄피해조사 2024/01_2025_전국범죄피해조사2024.pdf</x:v>
      </x:c>
    </x:row>
    <x:row r="45" ht="66" customHeight="1">
      <x:c r="A45" s="11" t="str">
        <x:v>R20</x:v>
      </x:c>
      <x:c r="B45" s="15" t="n">
        <x:v>2025</x:v>
      </x:c>
      <x:c r="C45" s="13" t="str">
        <x:v>국민중심 의료개혁 추진방안에 관한 연구</x:v>
      </x:c>
      <x:c r="D45" s="13" t="str">
        <x:v>01_2025_국민중심_의료개혁_추진방안에_관한_연구.pdf</x:v>
      </x:c>
      <x:c r="E45" s="13" t="str">
        <x:v>보고서 원문</x:v>
      </x:c>
      <x:c r="F45" s="17" t="n">
        <x:v>16406281</x:v>
      </x:c>
      <x:c r="G45" s="13" t="str">
        <x:v>41a086f9ff29279676ebdd056c3163aa7ba5e566188ce3bc8846cc4947dfa34f</x:v>
      </x:c>
      <x:c r="H45" s="13" t="str">
        <x:v>D:\연구실적_정리_20261026\outputs\research_20261026\01_연구과제와보고서\2025\R20_국민중심 의료개혁 추진방안에 관한 연구\01_2025_국민중심_의료개혁_추진방안에_관한_연구.pdf</x:v>
      </x:c>
      <x:c r="I45" s="13" t="str">
        <x:v>D:\연구실적_정리_20261026\작업자료\web\2025_국민중심_의료개혁_추진방안에_관한_연구.pdf</x:v>
      </x:c>
      <x:c r="J45" s="13" t="str">
        <x:v>01_연구과제와보고서/2025/R20_국민중심 의료개혁 추진방안에 관한 연구/01_2025_국민중심_의료개혁_추진방안에_관한_연구.pdf</x:v>
      </x:c>
    </x:row>
    <x:row r="46" ht="66" customHeight="1">
      <x:c r="A46" s="10" t="str">
        <x:v>R21</x:v>
      </x:c>
      <x:c r="B46" s="14" t="n">
        <x:v>2025</x:v>
      </x:c>
      <x:c r="C46" s="12" t="str">
        <x:v>자립준비청년의 주거문제와 범죄 가-피해 대응을 위한 법제 검토 연구</x:v>
      </x:c>
      <x:c r="D46" s="12" t="str">
        <x:v>01_2025_자립준비청년_주거_범죄가피해.pdf</x:v>
      </x:c>
      <x:c r="E46" s="12" t="str">
        <x:v>보고서 원문</x:v>
      </x:c>
      <x:c r="F46" s="16" t="n">
        <x:v>16879605</x:v>
      </x:c>
      <x:c r="G46" s="12" t="str">
        <x:v>cc5c11901f60cb884687953402208aad0133d22c99dc1bb66bd82403f9c05cd5</x:v>
      </x:c>
      <x:c r="H46" s="12" t="str">
        <x:v>D:\연구실적_정리_20261026\outputs\research_20261026\01_연구과제와보고서\2025\R21_자립준비청년의 주거문제와 범죄 가-피해 대응을 위한 법제 검토 연구\01_2025_자립준비청년_주거_범죄가피해.pdf</x:v>
      </x:c>
      <x:c r="I46" s="12" t="str">
        <x:v>D:\연구실적_정리_20261026\작업자료\web\2025_자립준비청년_주거_범죄가피해.pdf</x:v>
      </x:c>
      <x:c r="J46" s="12" t="str">
        <x:v>01_연구과제와보고서/2025/R21_자립준비청년의 주거문제와 범죄 가-피해 대응을 위한 법제 검토 연구/01_2025_자립준비청년_주거_범죄가피해.pdf</x:v>
      </x:c>
    </x:row>
    <x:row r="47" ht="66" customHeight="1">
      <x:c r="A47" s="11" t="str">
        <x:v>C03</x:v>
      </x:c>
      <x:c r="B47" s="15" t="n">
        <x:v>2026</x:v>
      </x:c>
      <x:c r="C47" s="13" t="str">
        <x:v>사법 AI 도입에 따른 법률구조 서비스의 공정성·접근성 확보를 위한 정책적 운영 기준 연구</x:v>
      </x:c>
      <x:c r="D47" s="13" t="str">
        <x:v>01_최종_4장 추가 중_261017.hwp</x:v>
      </x:c>
      <x:c r="E47" s="13" t="str">
        <x:v>분석·원고 작업본</x:v>
      </x:c>
      <x:c r="F47" s="17" t="n">
        <x:v>2508288</x:v>
      </x:c>
      <x:c r="G47" s="13" t="str">
        <x:v>39b4475810d2fd06cb82bbb2c1cfca5256cd34f4f5a607bd7bde13f871c8634a</x:v>
      </x:c>
      <x:c r="H47" s="13" t="str">
        <x:v>D:\연구실적_정리_20261026\outputs\research_20261026\02_참여확인필요\2026\C03_사법 AI 도입에 따른 법률구조 서비스의 공정성·접근성 확보를 위한 정책적 운영 기준 연구\01_최종_4장 추가 중_261017.hwp</x:v>
      </x:c>
      <x:c r="I47" s="13" t="str">
        <x:v>D:\KICJ\사법AI\최종_4장 추가 중_261017.hwp</x:v>
      </x:c>
      <x:c r="J47" s="13" t="str">
        <x:v>02_참여확인필요/2026/C03_사법 AI 도입에 따른 법률구조 서비스의 공정성·접근성 확보를 위한 정책적 운영 기준 연구/01_최종_4장 추가 중_261017.hwp</x:v>
      </x:c>
    </x:row>
    <x:row r="48" ht="66" customHeight="1">
      <x:c r="A48" s="10" t="str">
        <x:v>C03</x:v>
      </x:c>
      <x:c r="B48" s="14" t="n">
        <x:v>2026</x:v>
      </x:c>
      <x:c r="C48" s="12" t="str">
        <x:v>사법 AI 도입에 따른 법률구조 서비스의 공정성·접근성 확보를 위한 정책적 운영 기준 연구</x:v>
      </x:c>
      <x:c r="D48" s="12" t="str">
        <x:v>02_권준성 분석결과.xlsx</x:v>
      </x:c>
      <x:c r="E48" s="12" t="str">
        <x:v>분석·원고 작업본</x:v>
      </x:c>
      <x:c r="F48" s="16" t="n">
        <x:v>16561</x:v>
      </x:c>
      <x:c r="G48" s="12" t="str">
        <x:v>884d3e8ed08c8a999caaee6e5c60c7e7ab4b17026e292b1a7f22a44c9fcb76e3</x:v>
      </x:c>
      <x:c r="H48" s="12" t="str">
        <x:v>D:\연구실적_정리_20261026\outputs\research_20261026\02_참여확인필요\2026\C03_사법 AI 도입에 따른 법률구조 서비스의 공정성·접근성 확보를 위한 정책적 운영 기준 연구\02_권준성 분석결과.xlsx</x:v>
      </x:c>
      <x:c r="I48" s="12" t="str">
        <x:v>D:\KICJ\사법AI\analysis_2\권준성 분석결과.xlsx</x:v>
      </x:c>
      <x:c r="J48" s="12" t="str">
        <x:v>02_참여확인필요/2026/C03_사법 AI 도입에 따른 법률구조 서비스의 공정성·접근성 확보를 위한 정책적 운영 기준 연구/02_권준성 분석결과.xlsx</x:v>
      </x:c>
    </x:row>
    <x:row r="49" ht="66" customHeight="1">
      <x:c r="A49" s="11" t="str">
        <x:v>C04</x:v>
      </x:c>
      <x:c r="B49" s="15" t="n">
        <x:v>2026</x:v>
      </x:c>
      <x:c r="C49" s="13" t="str">
        <x:v>범죄 트렌드 관련 성범죄·방화범죄 원고</x:v>
      </x:c>
      <x:c r="D49" s="13" t="str">
        <x:v>01_성범죄_260915_최종.hwp</x:v>
      </x:c>
      <x:c r="E49" s="13" t="str">
        <x:v>분석·원고 작업본</x:v>
      </x:c>
      <x:c r="F49" s="17" t="n">
        <x:v>988160</x:v>
      </x:c>
      <x:c r="G49" s="13" t="str">
        <x:v>2c791a5910789b8501b93bfc6d3ecdd2d5b6ee739baa97e53e73bdafc9d411cb</x:v>
      </x:c>
      <x:c r="H49" s="13" t="str">
        <x:v>D:\연구실적_정리_20261026\outputs\research_20261026\02_참여확인필요\2026\C04_범죄 트렌드 관련 성범죄·방화범죄 원고\01_성범죄_260915_최종.hwp</x:v>
      </x:c>
      <x:c r="I49" s="13" t="str">
        <x:v>D:\2026\범죄트렌드\최종작업\성범죄_260915_최종.hwp</x:v>
      </x:c>
      <x:c r="J49" s="13" t="str">
        <x:v>02_참여확인필요/2026/C04_범죄 트렌드 관련 성범죄·방화범죄 원고/01_성범죄_260915_최종.hwp</x:v>
      </x:c>
    </x:row>
    <x:row r="50" ht="66" customHeight="1">
      <x:c r="A50" s="10" t="str">
        <x:v>C04</x:v>
      </x:c>
      <x:c r="B50" s="14" t="n">
        <x:v>2026</x:v>
      </x:c>
      <x:c r="C50" s="12" t="str">
        <x:v>범죄 트렌드 관련 성범죄·방화범죄 원고</x:v>
      </x:c>
      <x:c r="D50" s="12" t="str">
        <x:v>02_4. 방화범죄_0906.hwp</x:v>
      </x:c>
      <x:c r="E50" s="12" t="str">
        <x:v>분석·원고 작업본</x:v>
      </x:c>
      <x:c r="F50" s="16" t="n">
        <x:v>122368</x:v>
      </x:c>
      <x:c r="G50" s="12" t="str">
        <x:v>96db9c1c8e595ead4a78add4ca9a67405ec3f196e656766e8d9805fedebf38bf</x:v>
      </x:c>
      <x:c r="H50" s="12" t="str">
        <x:v>D:\연구실적_정리_20261026\outputs\research_20261026\02_참여확인필요\2026\C04_범죄 트렌드 관련 성범죄·방화범죄 원고\02_4. 방화범죄_0906.hwp</x:v>
      </x:c>
      <x:c r="I50" s="12" t="str">
        <x:v>D:\2026\범죄트렌드\최종작업\4. 방화범죄_0906.hwp</x:v>
      </x:c>
      <x:c r="J50" s="12" t="str">
        <x:v>02_참여확인필요/2026/C04_범죄 트렌드 관련 성범죄·방화범죄 원고/02_4. 방화범죄_0906.hwp</x:v>
      </x:c>
    </x:row>
    <x:row r="51" ht="66" customHeight="1">
      <x:c r="A51" s="11" t="str">
        <x:v>R23</x:v>
      </x:c>
      <x:c r="B51" s="15" t="n">
        <x:v>2026</x:v>
      </x:c>
      <x:c r="C51" s="13" t="str">
        <x:v>민생침해범죄 동향과 정책대안 구축(Ⅲ): 민생침해 악성사기</x:v>
      </x:c>
      <x:c r="D51" s="13" t="str">
        <x:v>01_착수보고서_민생침해범죄 동향과 정책대안 구축.hwp</x:v>
      </x:c>
      <x:c r="E51" s="13" t="str">
        <x:v>착수보고서</x:v>
      </x:c>
      <x:c r="F51" s="17" t="n">
        <x:v>98304</x:v>
      </x:c>
      <x:c r="G51" s="13" t="str">
        <x:v>42fe29906704418ed2298b1366bc7add91d90d4d2e918feb61c444449226752d</x:v>
      </x:c>
      <x:c r="H51" s="13" t="str">
        <x:v>D:\연구실적_정리_20261026\outputs\research_20261026\01_연구과제와보고서\2026\R23_민생침해범죄 동향과 정책대안 구축(Ⅲ)_ 민생침해 악성사기\01_착수보고서_민생침해범죄 동향과 정책대안 구축.hwp</x:v>
      </x:c>
      <x:c r="I51" s="13" t="str">
        <x:v>D:\KICJ\착수보고서_민생침해범죄 동향과 정책대안 구축.hwp</x:v>
      </x:c>
      <x:c r="J51" s="13" t="str">
        <x:v>01_연구과제와보고서/2026/R23_민생침해범죄 동향과 정책대안 구축(Ⅲ)_ 민생침해 악성사기/01_착수보고서_민생침해범죄 동향과 정책대안 구축.hwp</x:v>
      </x:c>
    </x:row>
    <x:row r="52" ht="66" customHeight="1">
      <x:c r="A52" s="10" t="str">
        <x:v>R23</x:v>
      </x:c>
      <x:c r="B52" s="14" t="n">
        <x:v>2026</x:v>
      </x:c>
      <x:c r="C52" s="12" t="str">
        <x:v>민생침해범죄 동향과 정책대안 구축(Ⅲ): 민생침해 악성사기</x:v>
      </x:c>
      <x:c r="D52" s="12" t="str">
        <x:v>02_261020 민생침해범죄 동향과 정책대안 구축(3)_민생침해 악성사기(표_박은선).hwp</x:v>
      </x:c>
      <x:c r="E52" s="12" t="str">
        <x:v>결과표 작업본</x:v>
      </x:c>
      <x:c r="F52" s="16" t="n">
        <x:v>325632</x:v>
      </x:c>
      <x:c r="G52" s="12" t="str">
        <x:v>22bb4b184e317413340579d5f89ad6b6f23178ad1434082a70f7596beecea481</x:v>
      </x:c>
      <x:c r="H52" s="12" t="str">
        <x:v>D:\연구실적_정리_20261026\outputs\research_20261026\01_연구과제와보고서\2026\R23_민생침해범죄 동향과 정책대안 구축(Ⅲ)_ 민생침해 악성사기\02_261020 민생침해범죄 동향과 정책대안 구축(3)_민생침해 악성사기(표_박은선).hwp</x:v>
      </x:c>
      <x:c r="I52" s="12" t="str">
        <x:v>D:\KICJ\민생침해\261020 민생침해범죄 동향과 정책대안 구축(3)_민생침해 악성사기(표_박은선).hwp</x:v>
      </x:c>
      <x:c r="J52" s="12" t="str">
        <x:v>01_연구과제와보고서/2026/R23_민생침해범죄 동향과 정책대안 구축(Ⅲ)_ 민생침해 악성사기/02_261020 민생침해범죄 동향과 정책대안 구축(3)_민생침해 악성사기(표_박은선).hwp</x:v>
      </x:c>
    </x:row>
    <x:row r="53" ht="66" customHeight="1">
      <x:c r="A53" s="11" t="str">
        <x:v>R24</x:v>
      </x:c>
      <x:c r="B53" s="15" t="n">
        <x:v>2026</x:v>
      </x:c>
      <x:c r="C53" s="13" t="str">
        <x:v>관계성 범죄 피해자 보호를 위한 AI 위기징후 분석 기술 확보 방안 연구</x:v>
      </x:c>
      <x:c r="D53" s="13" t="str">
        <x:v>01_1. (회의록) 2026년 미래치안도전기술개발사업 신규과제 착수보고회_261013_관계성.hwp</x:v>
      </x:c>
      <x:c r="E53" s="13" t="str">
        <x:v>착수·사전기획 자료</x:v>
      </x:c>
      <x:c r="F53" s="17" t="n">
        <x:v>122368</x:v>
      </x:c>
      <x:c r="G53" s="13" t="str">
        <x:v>b437cd4970e7823bf8dc94eb1bb516f2dac22edf7541d6295d34b55a8add81e8</x:v>
      </x:c>
      <x:c r="H53" s="13" t="str">
        <x:v>D:\연구실적_정리_20261026\outputs\research_20261026\01_연구과제와보고서\2026\R24_관계성 범죄 피해자 보호를 위한 AI 위기징후 분석 기술 확보 방안 연구\01_1. (회의록) 2026년 미래치안도전기술개발사업 신규과제 착수보고회_261013_관계성.hwp</x:v>
      </x:c>
      <x:c r="I53" s="13" t="str">
        <x:v>D:\2026\KICJ\위기징후\1. (회의록) 2026년 미래치안도전기술개발사업 신규과제 착수보고회_261013_관계성.hwp</x:v>
      </x:c>
      <x:c r="J53" s="13" t="str">
        <x:v>01_연구과제와보고서/2026/R24_관계성 범죄 피해자 보호를 위한 AI 위기징후 분석 기술 확보 방안 연구/01_1. (회의록) 2026년 미래치안도전기술개발사업 신규과제 착수보고회_261013_관계성.hwp</x:v>
      </x:c>
    </x:row>
    <x:row r="54" ht="66" customHeight="1">
      <x:c r="A54" s="10" t="str">
        <x:v>R24</x:v>
      </x:c>
      <x:c r="B54" s="14" t="n">
        <x:v>2026</x:v>
      </x:c>
      <x:c r="C54" s="12" t="str">
        <x:v>관계성 범죄 피해자 보호를 위한 AI 위기징후 분석 기술 확보 방안 연구</x:v>
      </x:c>
      <x:c r="D54" s="12" t="str">
        <x:v>02_관계성범죄_AI위기징후_사전기획_초안.docx</x:v>
      </x:c>
      <x:c r="E54" s="12" t="str">
        <x:v>착수·사전기획 자료</x:v>
      </x:c>
      <x:c r="F54" s="16" t="n">
        <x:v>50222</x:v>
      </x:c>
      <x:c r="G54" s="12" t="str">
        <x:v>6f9d50a7009f76819c7ae31303fdd5e297ac5a87e21f135735fe1d25042f2ad2</x:v>
      </x:c>
      <x:c r="H54" s="12" t="str">
        <x:v>D:\연구실적_정리_20261026\outputs\research_20261026\01_연구과제와보고서\2026\R24_관계성 범죄 피해자 보호를 위한 AI 위기징후 분석 기술 확보 방안 연구\02_관계성범죄_AI위기징후_사전기획_초안.docx</x:v>
      </x:c>
      <x:c r="I54" s="12" t="str">
        <x:v>D:\2026\KICJ\위기징후\관계성범죄_AI위기징후_사전기획_초안.docx</x:v>
      </x:c>
      <x:c r="J54" s="12" t="str">
        <x:v>01_연구과제와보고서/2026/R24_관계성 범죄 피해자 보호를 위한 AI 위기징후 분석 기술 확보 방안 연구/02_관계성범죄_AI위기징후_사전기획_초안.docx</x:v>
      </x:c>
    </x:row>
    <x:row r="55" ht="66" customHeight="1">
      <x:c r="A55" s="11" t="str">
        <x:v>R25</x:v>
      </x:c>
      <x:c r="B55" s="15" t="n">
        <x:v>2026</x:v>
      </x:c>
      <x:c r="C55" s="13" t="str">
        <x:v>재산범죄, 어떻게 변하고 있나: 2016~2024 피해 추이 분석</x:v>
      </x:c>
      <x:c r="D55" s="13" t="str">
        <x:v>01_이슈통계_재산범죄_권준성_260126.hwpx</x:v>
      </x:c>
      <x:c r="E55" s="13" t="str">
        <x:v>이슈통계 작성 원고</x:v>
      </x:c>
      <x:c r="F55" s="17" t="n">
        <x:v>353720</x:v>
      </x:c>
      <x:c r="G55" s="13" t="str">
        <x:v>5538a2e937afda214e5a62b82427aabd5619e3db9e5aca29a4d9ad4ad54f42eb</x:v>
      </x:c>
      <x:c r="H55" s="13" t="str">
        <x:v>D:\연구실적_정리_20261026\outputs\research_20261026\03_관련산출물\2026\R25_재산범죄, 어떻게 변하고 있나_ 2016~2024 피해 추이 분석\01_이슈통계_재산범죄_권준성_260126.hwpx</x:v>
      </x:c>
      <x:c r="I55" s="13" t="str">
        <x:v>C:\Users\overo\Documents\카카오워크 받은 파일\이슈통계_재산범죄_권준성_260126.hwpx</x:v>
      </x:c>
      <x:c r="J55" s="13" t="str">
        <x:v>03_관련산출물/2026/R25_재산범죄, 어떻게 변하고 있나_ 2016~2024 피해 추이 분석/01_이슈통계_재산범죄_권준성_260126.hwpx</x:v>
      </x:c>
    </x:row>
  </x:sheetData>
  <x:pageMargins left="0.7" right="0.7" top="0.75" bottom="0.75" header="0.3" footer="0.3"/>
  <x:tableParts count="1">
    <x:tablePart xmlns:r="http://schemas.openxmlformats.org/officeDocument/2006/relationships" r:id="Ra0f2f37a2c7145b7"/>
  </x:tableParts>
</x:worksheet>
</file>